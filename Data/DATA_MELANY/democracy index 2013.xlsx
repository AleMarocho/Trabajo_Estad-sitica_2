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yrodriguez/Documents/"/>
    </mc:Choice>
  </mc:AlternateContent>
  <xr:revisionPtr revIDLastSave="0" documentId="8_{4EC7D870-75BC-E542-B016-9808CF064FEE}" xr6:coauthVersionLast="47" xr6:coauthVersionMax="47" xr10:uidLastSave="{00000000-0000-0000-0000-000000000000}"/>
  <bookViews>
    <workbookView xWindow="380" yWindow="520" windowWidth="28040" windowHeight="15800" xr2:uid="{FC4BDAB9-5D07-E948-9CCA-9D34347740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7" i="1" l="1"/>
  <c r="C168" i="1"/>
  <c r="C131" i="1"/>
  <c r="C132" i="1"/>
  <c r="C134" i="1"/>
  <c r="C135" i="1"/>
  <c r="C145" i="1"/>
  <c r="C146" i="1"/>
  <c r="C123" i="1"/>
  <c r="C124" i="1"/>
  <c r="C127" i="1"/>
  <c r="C128" i="1"/>
  <c r="C105" i="1"/>
  <c r="C106" i="1"/>
  <c r="C108" i="1"/>
  <c r="C109" i="1"/>
  <c r="C111" i="1"/>
  <c r="C112" i="1"/>
  <c r="C63" i="1"/>
  <c r="C64" i="1"/>
  <c r="C73" i="1"/>
  <c r="C74" i="1"/>
  <c r="C86" i="1"/>
  <c r="C87" i="1"/>
  <c r="C89" i="1"/>
  <c r="C90" i="1"/>
  <c r="C30" i="1"/>
  <c r="C31" i="1"/>
  <c r="C37" i="1"/>
  <c r="C38" i="1"/>
  <c r="C47" i="1"/>
  <c r="C48" i="1"/>
  <c r="C19" i="1"/>
  <c r="C20" i="1"/>
  <c r="C23" i="1"/>
  <c r="C24" i="1"/>
</calcChain>
</file>

<file path=xl/sharedStrings.xml><?xml version="1.0" encoding="utf-8"?>
<sst xmlns="http://schemas.openxmlformats.org/spreadsheetml/2006/main" count="178" uniqueCount="178">
  <si>
    <t xml:space="preserve">Overall score </t>
  </si>
  <si>
    <t xml:space="preserve">Rank </t>
  </si>
  <si>
    <t xml:space="preserve">Electoral process </t>
  </si>
  <si>
    <t xml:space="preserve">Functioning of government </t>
  </si>
  <si>
    <t xml:space="preserve">Political participation </t>
  </si>
  <si>
    <t xml:space="preserve">Political culture </t>
  </si>
  <si>
    <t xml:space="preserve">Civil liberties </t>
  </si>
  <si>
    <t xml:space="preserve">Full democracies </t>
  </si>
  <si>
    <t xml:space="preserve">Norway </t>
  </si>
  <si>
    <t xml:space="preserve">Sweden </t>
  </si>
  <si>
    <t xml:space="preserve">Iceland </t>
  </si>
  <si>
    <t xml:space="preserve">Denmark </t>
  </si>
  <si>
    <t xml:space="preserve">New Zealand </t>
  </si>
  <si>
    <t xml:space="preserve">Australia </t>
  </si>
  <si>
    <t xml:space="preserve">Switzerland </t>
  </si>
  <si>
    <t xml:space="preserve">Canada </t>
  </si>
  <si>
    <t xml:space="preserve">Finland </t>
  </si>
  <si>
    <t xml:space="preserve">Luxembourg </t>
  </si>
  <si>
    <t xml:space="preserve">Netherlands </t>
  </si>
  <si>
    <t xml:space="preserve">Ireland </t>
  </si>
  <si>
    <t xml:space="preserve">Austria </t>
  </si>
  <si>
    <t xml:space="preserve">United Kingdom </t>
  </si>
  <si>
    <t xml:space="preserve">Germany </t>
  </si>
  <si>
    <t xml:space="preserve">Malta </t>
  </si>
  <si>
    <t xml:space="preserve">Uruguay </t>
  </si>
  <si>
    <t xml:space="preserve">Mauritius </t>
  </si>
  <si>
    <t xml:space="preserve">USA </t>
  </si>
  <si>
    <t xml:space="preserve">Japan </t>
  </si>
  <si>
    <t xml:space="preserve">Czech Republic </t>
  </si>
  <si>
    <t xml:space="preserve">South Korea </t>
  </si>
  <si>
    <t xml:space="preserve">Belgium </t>
  </si>
  <si>
    <t xml:space="preserve">Costa Rica </t>
  </si>
  <si>
    <t xml:space="preserve">Spain </t>
  </si>
  <si>
    <t xml:space="preserve">Flawed democracies </t>
  </si>
  <si>
    <t>Botswana</t>
  </si>
  <si>
    <t>France</t>
  </si>
  <si>
    <t>Slovenia</t>
  </si>
  <si>
    <t>Italy</t>
  </si>
  <si>
    <t>Chile</t>
  </si>
  <si>
    <t>India</t>
  </si>
  <si>
    <t>Greece</t>
  </si>
  <si>
    <t>Estonia</t>
  </si>
  <si>
    <t>Taiwan</t>
  </si>
  <si>
    <t>Lithuania</t>
  </si>
  <si>
    <t>Israel</t>
  </si>
  <si>
    <t>Jamaica</t>
  </si>
  <si>
    <t>Slovakia</t>
  </si>
  <si>
    <t>Cyprus</t>
  </si>
  <si>
    <t>Timor-Leste</t>
  </si>
  <si>
    <t>Poland</t>
  </si>
  <si>
    <t>Brazil</t>
  </si>
  <si>
    <t>Panama</t>
  </si>
  <si>
    <t>Latvia</t>
  </si>
  <si>
    <t>Croatia</t>
  </si>
  <si>
    <t>Mexico</t>
  </si>
  <si>
    <t>Argentina</t>
  </si>
  <si>
    <t>Indonesia</t>
  </si>
  <si>
    <t>Serbia</t>
  </si>
  <si>
    <t>Portugal</t>
  </si>
  <si>
    <t>Suriname</t>
  </si>
  <si>
    <t>Hungary</t>
  </si>
  <si>
    <t>Bulgaria</t>
  </si>
  <si>
    <t>Cape Verde</t>
  </si>
  <si>
    <t>South Africa</t>
  </si>
  <si>
    <t>Trinidad and Tobago</t>
  </si>
  <si>
    <t>Dominican Republic</t>
  </si>
  <si>
    <t xml:space="preserve">Lesotho </t>
  </si>
  <si>
    <t xml:space="preserve">Colombia </t>
  </si>
  <si>
    <t xml:space="preserve">Romania </t>
  </si>
  <si>
    <t xml:space="preserve">Peru </t>
  </si>
  <si>
    <t xml:space="preserve">El Salvador </t>
  </si>
  <si>
    <t xml:space="preserve">Mongolia </t>
  </si>
  <si>
    <t xml:space="preserve">Malaysia </t>
  </si>
  <si>
    <t xml:space="preserve">Hong Kong </t>
  </si>
  <si>
    <t xml:space="preserve">Philippines </t>
  </si>
  <si>
    <t xml:space="preserve">Papua New Guinea </t>
  </si>
  <si>
    <t xml:space="preserve">Ghana </t>
  </si>
  <si>
    <t xml:space="preserve">Moldova </t>
  </si>
  <si>
    <t xml:space="preserve">Zambia </t>
  </si>
  <si>
    <t xml:space="preserve">Paraguay </t>
  </si>
  <si>
    <t xml:space="preserve">Thailand </t>
  </si>
  <si>
    <t xml:space="preserve">Namibia </t>
  </si>
  <si>
    <t xml:space="preserve">Macedonia </t>
  </si>
  <si>
    <t xml:space="preserve">Senegal </t>
  </si>
  <si>
    <t xml:space="preserve">Guyana </t>
  </si>
  <si>
    <t xml:space="preserve">Malawi </t>
  </si>
  <si>
    <t xml:space="preserve">Hybrid regimes </t>
  </si>
  <si>
    <t xml:space="preserve">Georgia </t>
  </si>
  <si>
    <t xml:space="preserve">Montenegro </t>
  </si>
  <si>
    <t xml:space="preserve">Singapore </t>
  </si>
  <si>
    <t xml:space="preserve">Mali </t>
  </si>
  <si>
    <t xml:space="preserve">Benin </t>
  </si>
  <si>
    <t xml:space="preserve">Ecuador </t>
  </si>
  <si>
    <t xml:space="preserve">Bangladesh </t>
  </si>
  <si>
    <t xml:space="preserve">Honduras </t>
  </si>
  <si>
    <t xml:space="preserve">Ukraine </t>
  </si>
  <si>
    <t xml:space="preserve">Guatemala </t>
  </si>
  <si>
    <t xml:space="preserve">Bolivia </t>
  </si>
  <si>
    <t xml:space="preserve">Tanzania </t>
  </si>
  <si>
    <t xml:space="preserve">Tunisia </t>
  </si>
  <si>
    <t>SriLanka</t>
  </si>
  <si>
    <t>Albania</t>
  </si>
  <si>
    <t>Turkey</t>
  </si>
  <si>
    <t>Nicaragua</t>
  </si>
  <si>
    <t>Uganda</t>
  </si>
  <si>
    <t>Kenya</t>
  </si>
  <si>
    <t>Venezuela</t>
  </si>
  <si>
    <t>Lebanon</t>
  </si>
  <si>
    <t>Liberia</t>
  </si>
  <si>
    <t>Bhutan</t>
  </si>
  <si>
    <t>Libya</t>
  </si>
  <si>
    <t>Palestine</t>
  </si>
  <si>
    <t>Nepal</t>
  </si>
  <si>
    <t>Mozambique</t>
  </si>
  <si>
    <t>Pakistan</t>
  </si>
  <si>
    <t>SierraLeone</t>
  </si>
  <si>
    <t>Cambodia</t>
  </si>
  <si>
    <t>Madagascar</t>
  </si>
  <si>
    <t>Mauritania</t>
  </si>
  <si>
    <t>BurkinaFaso</t>
  </si>
  <si>
    <t>Iraq</t>
  </si>
  <si>
    <t>Niger</t>
  </si>
  <si>
    <t>Morocco</t>
  </si>
  <si>
    <t>Armenia</t>
  </si>
  <si>
    <t xml:space="preserve">Authoritarian regimes </t>
  </si>
  <si>
    <t xml:space="preserve">Haiti </t>
  </si>
  <si>
    <t xml:space="preserve">Ethiopia </t>
  </si>
  <si>
    <t xml:space="preserve">Algeria </t>
  </si>
  <si>
    <t xml:space="preserve">Kuwait </t>
  </si>
  <si>
    <t xml:space="preserve">Nigeria </t>
  </si>
  <si>
    <t xml:space="preserve">Jordan </t>
  </si>
  <si>
    <t xml:space="preserve">Gabon </t>
  </si>
  <si>
    <t>Fiji</t>
  </si>
  <si>
    <t>Russia</t>
  </si>
  <si>
    <t>Cuba</t>
  </si>
  <si>
    <t>Comoros</t>
  </si>
  <si>
    <t>Togo</t>
  </si>
  <si>
    <t>Burundi</t>
  </si>
  <si>
    <t>Cameroon</t>
  </si>
  <si>
    <t>Rwanda</t>
  </si>
  <si>
    <t>Angola</t>
  </si>
  <si>
    <t>Gambia</t>
  </si>
  <si>
    <t>Vietnam</t>
  </si>
  <si>
    <t>Egypt</t>
  </si>
  <si>
    <t>Oman</t>
  </si>
  <si>
    <t>Côted’Ivoire</t>
  </si>
  <si>
    <t>Swaziland</t>
  </si>
  <si>
    <t>Qatar</t>
  </si>
  <si>
    <t>Azerbaijan</t>
  </si>
  <si>
    <t>Kazakhstan</t>
  </si>
  <si>
    <t>Belarus</t>
  </si>
  <si>
    <t>China</t>
  </si>
  <si>
    <t>Djibouti</t>
  </si>
  <si>
    <t>Congo(Brazzaville)</t>
  </si>
  <si>
    <t>Bahrain</t>
  </si>
  <si>
    <t>Guinea</t>
  </si>
  <si>
    <t>Yemen</t>
  </si>
  <si>
    <t>Myanmar</t>
  </si>
  <si>
    <t>Zimbabwe</t>
  </si>
  <si>
    <t>Sudan</t>
  </si>
  <si>
    <t>Tajikistan</t>
  </si>
  <si>
    <t>Afghanistan</t>
  </si>
  <si>
    <t>Eritrea</t>
  </si>
  <si>
    <t>Laos</t>
  </si>
  <si>
    <t>Kyrgyz Republic</t>
  </si>
  <si>
    <t>Bosnia and Hercegovina</t>
  </si>
  <si>
    <t>United Arab Emirates</t>
  </si>
  <si>
    <t xml:space="preserve">Iran </t>
  </si>
  <si>
    <t xml:space="preserve">Syria </t>
  </si>
  <si>
    <t xml:space="preserve">Democratic Republic of Congo </t>
  </si>
  <si>
    <t xml:space="preserve">Saudi Arabia </t>
  </si>
  <si>
    <t xml:space="preserve">Equatorial Guinea </t>
  </si>
  <si>
    <t xml:space="preserve">Uzbekistan </t>
  </si>
  <si>
    <t xml:space="preserve">Turkmenistan </t>
  </si>
  <si>
    <t xml:space="preserve">Chad </t>
  </si>
  <si>
    <t xml:space="preserve">Central African Republic </t>
  </si>
  <si>
    <t xml:space="preserve">Guinea-Bissau </t>
  </si>
  <si>
    <t xml:space="preserve">North Korea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</si>
</sst>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D16B-C686-1042-BC57-F25992291AD1}">
  <dimension ref="A1:H172"/>
  <sheetViews>
    <sheetView tabSelected="1" topLeftCell="A15" zoomScale="50" zoomScaleNormal="224" workbookViewId="0">
      <selection activeCell="E134" sqref="E134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  <c r="B2" s="1"/>
      <c r="C2" s="1"/>
      <c r="D2" s="1"/>
      <c r="E2" s="1"/>
      <c r="F2" s="1"/>
      <c r="G2" s="1"/>
      <c r="H2" s="1"/>
    </row>
    <row r="3" spans="1:8" x14ac:dyDescent="0.2">
      <c r="A3" t="s">
        <v>8</v>
      </c>
      <c r="B3">
        <v>9.93</v>
      </c>
      <c r="C3">
        <v>1</v>
      </c>
      <c r="D3">
        <v>10</v>
      </c>
      <c r="E3">
        <v>9.64</v>
      </c>
      <c r="F3">
        <v>10</v>
      </c>
      <c r="G3">
        <v>10</v>
      </c>
      <c r="H3">
        <v>10</v>
      </c>
    </row>
    <row r="4" spans="1:8" x14ac:dyDescent="0.2">
      <c r="A4" t="s">
        <v>9</v>
      </c>
      <c r="B4">
        <v>9.73</v>
      </c>
      <c r="C4">
        <v>2</v>
      </c>
      <c r="D4">
        <v>9.58</v>
      </c>
      <c r="E4">
        <v>9.64</v>
      </c>
      <c r="F4">
        <v>9.44</v>
      </c>
      <c r="G4">
        <v>10</v>
      </c>
      <c r="H4">
        <v>10</v>
      </c>
    </row>
    <row r="5" spans="1:8" x14ac:dyDescent="0.2">
      <c r="A5" t="s">
        <v>10</v>
      </c>
      <c r="B5">
        <v>9.65</v>
      </c>
      <c r="C5">
        <v>3</v>
      </c>
      <c r="D5">
        <v>10</v>
      </c>
      <c r="E5">
        <v>9.64</v>
      </c>
      <c r="F5">
        <v>8.89</v>
      </c>
      <c r="G5">
        <v>10</v>
      </c>
      <c r="H5">
        <v>9.7100000000000009</v>
      </c>
    </row>
    <row r="6" spans="1:8" x14ac:dyDescent="0.2">
      <c r="A6" t="s">
        <v>11</v>
      </c>
      <c r="B6">
        <v>9.3800000000000008</v>
      </c>
      <c r="C6">
        <v>4</v>
      </c>
      <c r="D6">
        <v>9.58</v>
      </c>
      <c r="E6">
        <v>9.64</v>
      </c>
      <c r="F6">
        <v>8.89</v>
      </c>
      <c r="G6">
        <v>9.3800000000000008</v>
      </c>
      <c r="H6">
        <v>9.41</v>
      </c>
    </row>
    <row r="7" spans="1:8" x14ac:dyDescent="0.2">
      <c r="A7" t="s">
        <v>12</v>
      </c>
      <c r="B7">
        <v>9.26</v>
      </c>
      <c r="C7">
        <v>5</v>
      </c>
      <c r="D7">
        <v>10</v>
      </c>
      <c r="E7">
        <v>9.2899999999999991</v>
      </c>
      <c r="F7">
        <v>8.89</v>
      </c>
      <c r="G7">
        <v>8.1300000000000008</v>
      </c>
      <c r="H7">
        <v>10</v>
      </c>
    </row>
    <row r="8" spans="1:8" x14ac:dyDescent="0.2">
      <c r="A8" t="s">
        <v>13</v>
      </c>
      <c r="B8">
        <v>9.1300000000000008</v>
      </c>
      <c r="C8">
        <v>6</v>
      </c>
      <c r="D8">
        <v>9.58</v>
      </c>
      <c r="E8">
        <v>8.93</v>
      </c>
      <c r="F8">
        <v>7.78</v>
      </c>
      <c r="G8">
        <v>9.3800000000000008</v>
      </c>
      <c r="H8">
        <v>10</v>
      </c>
    </row>
    <row r="9" spans="1:8" x14ac:dyDescent="0.2">
      <c r="A9" t="s">
        <v>14</v>
      </c>
      <c r="B9">
        <v>9.09</v>
      </c>
      <c r="C9">
        <v>7</v>
      </c>
      <c r="D9">
        <v>9.58</v>
      </c>
      <c r="E9">
        <v>9.2899999999999991</v>
      </c>
      <c r="F9">
        <v>7.78</v>
      </c>
      <c r="G9">
        <v>9.3800000000000008</v>
      </c>
      <c r="H9">
        <v>9.41</v>
      </c>
    </row>
    <row r="10" spans="1:8" x14ac:dyDescent="0.2">
      <c r="A10" t="s">
        <v>15</v>
      </c>
      <c r="B10">
        <v>9.08</v>
      </c>
      <c r="C10">
        <v>8</v>
      </c>
      <c r="D10">
        <v>9.58</v>
      </c>
      <c r="E10">
        <v>9.2899999999999991</v>
      </c>
      <c r="F10">
        <v>7.78</v>
      </c>
      <c r="G10">
        <v>8.75</v>
      </c>
      <c r="H10">
        <v>10</v>
      </c>
    </row>
    <row r="11" spans="1:8" x14ac:dyDescent="0.2">
      <c r="A11" t="s">
        <v>16</v>
      </c>
      <c r="B11">
        <v>9.0299999999999994</v>
      </c>
      <c r="C11">
        <v>9</v>
      </c>
      <c r="D11">
        <v>10</v>
      </c>
      <c r="E11">
        <v>8.93</v>
      </c>
      <c r="F11">
        <v>7.78</v>
      </c>
      <c r="G11">
        <v>8.75</v>
      </c>
      <c r="H11">
        <v>9.7100000000000009</v>
      </c>
    </row>
    <row r="12" spans="1:8" x14ac:dyDescent="0.2">
      <c r="A12" t="s">
        <v>17</v>
      </c>
      <c r="B12">
        <v>8.8800000000000008</v>
      </c>
      <c r="C12">
        <v>10</v>
      </c>
      <c r="D12">
        <v>10</v>
      </c>
      <c r="E12">
        <v>9.2899999999999991</v>
      </c>
      <c r="F12">
        <v>6.67</v>
      </c>
      <c r="G12">
        <v>8.75</v>
      </c>
      <c r="H12">
        <v>9.7100000000000009</v>
      </c>
    </row>
    <row r="13" spans="1:8" x14ac:dyDescent="0.2">
      <c r="A13" t="s">
        <v>18</v>
      </c>
      <c r="B13">
        <v>8.84</v>
      </c>
      <c r="C13">
        <v>11</v>
      </c>
      <c r="D13">
        <v>9.58</v>
      </c>
      <c r="E13">
        <v>8.2100000000000009</v>
      </c>
      <c r="F13">
        <v>8.89</v>
      </c>
      <c r="G13">
        <v>8.1300000000000008</v>
      </c>
      <c r="H13">
        <v>9.41</v>
      </c>
    </row>
    <row r="14" spans="1:8" x14ac:dyDescent="0.2">
      <c r="A14" t="s">
        <v>19</v>
      </c>
      <c r="B14">
        <v>8.68</v>
      </c>
      <c r="C14">
        <v>12</v>
      </c>
      <c r="D14">
        <v>9.58</v>
      </c>
      <c r="E14">
        <v>7.86</v>
      </c>
      <c r="F14">
        <v>7.22</v>
      </c>
      <c r="G14">
        <v>8.75</v>
      </c>
      <c r="H14">
        <v>10</v>
      </c>
    </row>
    <row r="15" spans="1:8" x14ac:dyDescent="0.2">
      <c r="A15" t="s">
        <v>20</v>
      </c>
      <c r="B15">
        <v>8.48</v>
      </c>
      <c r="C15">
        <v>13</v>
      </c>
      <c r="D15">
        <v>9.58</v>
      </c>
      <c r="E15">
        <v>7.5</v>
      </c>
      <c r="F15">
        <v>7.78</v>
      </c>
      <c r="G15">
        <v>8.1300000000000008</v>
      </c>
      <c r="H15">
        <v>9.41</v>
      </c>
    </row>
    <row r="16" spans="1:8" x14ac:dyDescent="0.2">
      <c r="A16" t="s">
        <v>21</v>
      </c>
      <c r="B16">
        <v>8.31</v>
      </c>
      <c r="C16">
        <v>14</v>
      </c>
      <c r="D16">
        <v>9.58</v>
      </c>
      <c r="E16">
        <v>7.14</v>
      </c>
      <c r="F16">
        <v>6.67</v>
      </c>
      <c r="G16">
        <v>8.75</v>
      </c>
      <c r="H16">
        <v>9.41</v>
      </c>
    </row>
    <row r="17" spans="1:8" x14ac:dyDescent="0.2">
      <c r="A17" t="s">
        <v>22</v>
      </c>
      <c r="B17">
        <v>8.31</v>
      </c>
      <c r="C17">
        <v>15</v>
      </c>
      <c r="D17">
        <v>9.58</v>
      </c>
      <c r="E17">
        <v>7.5</v>
      </c>
      <c r="F17">
        <v>7.22</v>
      </c>
      <c r="G17">
        <v>8.1300000000000008</v>
      </c>
      <c r="H17">
        <v>9.1199999999999992</v>
      </c>
    </row>
    <row r="18" spans="1:8" x14ac:dyDescent="0.2">
      <c r="A18" t="s">
        <v>23</v>
      </c>
      <c r="B18">
        <v>8.2799999999999994</v>
      </c>
      <c r="C18">
        <v>16</v>
      </c>
      <c r="D18">
        <v>9.17</v>
      </c>
      <c r="E18">
        <v>8.2100000000000009</v>
      </c>
      <c r="F18">
        <v>5.56</v>
      </c>
      <c r="G18">
        <v>8.75</v>
      </c>
      <c r="H18">
        <v>9.7100000000000009</v>
      </c>
    </row>
    <row r="19" spans="1:8" x14ac:dyDescent="0.2">
      <c r="A19" t="s">
        <v>24</v>
      </c>
      <c r="B19">
        <v>8.17</v>
      </c>
      <c r="C19">
        <f>17</f>
        <v>17</v>
      </c>
      <c r="D19">
        <v>10</v>
      </c>
      <c r="E19">
        <v>8.93</v>
      </c>
      <c r="F19">
        <v>4.4400000000000004</v>
      </c>
      <c r="G19">
        <v>7.5</v>
      </c>
      <c r="H19">
        <v>10</v>
      </c>
    </row>
    <row r="20" spans="1:8" x14ac:dyDescent="0.2">
      <c r="A20" t="s">
        <v>25</v>
      </c>
      <c r="B20">
        <v>8.17</v>
      </c>
      <c r="C20">
        <f>17</f>
        <v>17</v>
      </c>
      <c r="D20">
        <v>9.17</v>
      </c>
      <c r="E20">
        <v>8.2100000000000009</v>
      </c>
      <c r="F20">
        <v>5</v>
      </c>
      <c r="G20">
        <v>8.75</v>
      </c>
      <c r="H20">
        <v>9.7100000000000009</v>
      </c>
    </row>
    <row r="21" spans="1:8" x14ac:dyDescent="0.2">
      <c r="A21" t="s">
        <v>26</v>
      </c>
      <c r="B21">
        <v>8.11</v>
      </c>
      <c r="C21">
        <v>19</v>
      </c>
      <c r="D21">
        <v>9.17</v>
      </c>
      <c r="E21">
        <v>7.5</v>
      </c>
      <c r="F21">
        <v>7.22</v>
      </c>
      <c r="G21">
        <v>8.1300000000000008</v>
      </c>
      <c r="H21">
        <v>8.5299999999999994</v>
      </c>
    </row>
    <row r="22" spans="1:8" x14ac:dyDescent="0.2">
      <c r="A22" t="s">
        <v>27</v>
      </c>
      <c r="B22">
        <v>8.08</v>
      </c>
      <c r="C22">
        <v>20</v>
      </c>
      <c r="D22">
        <v>9.17</v>
      </c>
      <c r="E22">
        <v>8.2100000000000009</v>
      </c>
      <c r="F22">
        <v>6.11</v>
      </c>
      <c r="G22">
        <v>7.5</v>
      </c>
      <c r="H22">
        <v>9.41</v>
      </c>
    </row>
    <row r="23" spans="1:8" x14ac:dyDescent="0.2">
      <c r="A23" t="s">
        <v>28</v>
      </c>
      <c r="B23">
        <v>8.06</v>
      </c>
      <c r="C23">
        <f>21</f>
        <v>21</v>
      </c>
      <c r="D23">
        <v>9.58</v>
      </c>
      <c r="E23">
        <v>7.14</v>
      </c>
      <c r="F23">
        <v>6.67</v>
      </c>
      <c r="G23">
        <v>7.5</v>
      </c>
      <c r="H23">
        <v>9.41</v>
      </c>
    </row>
    <row r="24" spans="1:8" x14ac:dyDescent="0.2">
      <c r="A24" t="s">
        <v>29</v>
      </c>
      <c r="B24">
        <v>8.06</v>
      </c>
      <c r="C24">
        <f>21</f>
        <v>21</v>
      </c>
      <c r="D24">
        <v>9.17</v>
      </c>
      <c r="E24">
        <v>7.86</v>
      </c>
      <c r="F24">
        <v>7.22</v>
      </c>
      <c r="G24">
        <v>7.5</v>
      </c>
      <c r="H24">
        <v>8.5299999999999994</v>
      </c>
    </row>
    <row r="25" spans="1:8" x14ac:dyDescent="0.2">
      <c r="A25" t="s">
        <v>30</v>
      </c>
      <c r="B25">
        <v>8.0500000000000007</v>
      </c>
      <c r="C25">
        <v>23</v>
      </c>
      <c r="D25">
        <v>9.58</v>
      </c>
      <c r="E25">
        <v>8.2100000000000009</v>
      </c>
      <c r="F25">
        <v>5.56</v>
      </c>
      <c r="G25">
        <v>7.5</v>
      </c>
      <c r="H25">
        <v>9.41</v>
      </c>
    </row>
    <row r="26" spans="1:8" x14ac:dyDescent="0.2">
      <c r="A26" t="s">
        <v>31</v>
      </c>
      <c r="B26">
        <v>8.0299999999999994</v>
      </c>
      <c r="C26">
        <v>24</v>
      </c>
      <c r="D26">
        <v>9.58</v>
      </c>
      <c r="E26">
        <v>7.86</v>
      </c>
      <c r="F26">
        <v>6.11</v>
      </c>
      <c r="G26">
        <v>6.88</v>
      </c>
      <c r="H26">
        <v>9.7100000000000009</v>
      </c>
    </row>
    <row r="27" spans="1:8" x14ac:dyDescent="0.2">
      <c r="A27" t="s">
        <v>32</v>
      </c>
      <c r="B27">
        <v>8.02</v>
      </c>
      <c r="C27">
        <v>25</v>
      </c>
      <c r="D27">
        <v>9.58</v>
      </c>
      <c r="E27">
        <v>7.5</v>
      </c>
      <c r="F27">
        <v>6.11</v>
      </c>
      <c r="G27">
        <v>7.5</v>
      </c>
      <c r="H27">
        <v>9.41</v>
      </c>
    </row>
    <row r="28" spans="1:8" x14ac:dyDescent="0.2">
      <c r="A28" s="1" t="s">
        <v>33</v>
      </c>
      <c r="B28" s="1"/>
      <c r="C28" s="1"/>
      <c r="D28" s="1"/>
      <c r="E28" s="1"/>
      <c r="F28" s="1"/>
      <c r="G28" s="1"/>
      <c r="H28" s="1"/>
    </row>
    <row r="29" spans="1:8" x14ac:dyDescent="0.2">
      <c r="A29" t="s">
        <v>34</v>
      </c>
      <c r="B29">
        <v>7.98</v>
      </c>
      <c r="C29">
        <v>26</v>
      </c>
      <c r="D29">
        <v>9.17</v>
      </c>
      <c r="E29">
        <v>7.14</v>
      </c>
      <c r="F29">
        <v>6.67</v>
      </c>
      <c r="G29">
        <v>7.5</v>
      </c>
      <c r="H29">
        <v>9.41</v>
      </c>
    </row>
    <row r="30" spans="1:8" x14ac:dyDescent="0.2">
      <c r="A30" t="s">
        <v>35</v>
      </c>
      <c r="B30">
        <v>7.92</v>
      </c>
      <c r="C30">
        <f>27</f>
        <v>27</v>
      </c>
      <c r="D30">
        <v>9.58</v>
      </c>
      <c r="E30">
        <v>6.79</v>
      </c>
      <c r="F30">
        <v>7.22</v>
      </c>
      <c r="G30">
        <v>7.5</v>
      </c>
      <c r="H30">
        <v>8.5299999999999994</v>
      </c>
    </row>
    <row r="31" spans="1:8" x14ac:dyDescent="0.2">
      <c r="A31" t="s">
        <v>62</v>
      </c>
      <c r="B31">
        <v>7.92</v>
      </c>
      <c r="C31">
        <f>27</f>
        <v>27</v>
      </c>
      <c r="D31">
        <v>9.17</v>
      </c>
      <c r="E31">
        <v>7.86</v>
      </c>
      <c r="F31">
        <v>7.22</v>
      </c>
      <c r="G31">
        <v>6.25</v>
      </c>
      <c r="H31">
        <v>9.1199999999999992</v>
      </c>
    </row>
    <row r="32" spans="1:8" x14ac:dyDescent="0.2">
      <c r="A32" t="s">
        <v>63</v>
      </c>
      <c r="B32">
        <v>7.9</v>
      </c>
      <c r="C32">
        <v>29</v>
      </c>
      <c r="D32">
        <v>8.75</v>
      </c>
      <c r="E32">
        <v>8.2100000000000009</v>
      </c>
      <c r="F32">
        <v>7.78</v>
      </c>
      <c r="G32">
        <v>6.25</v>
      </c>
      <c r="H32">
        <v>8.5299999999999994</v>
      </c>
    </row>
    <row r="33" spans="1:8" x14ac:dyDescent="0.2">
      <c r="A33" t="s">
        <v>36</v>
      </c>
      <c r="B33">
        <v>7.88</v>
      </c>
      <c r="C33">
        <v>30</v>
      </c>
      <c r="D33">
        <v>9.58</v>
      </c>
      <c r="E33">
        <v>7.5</v>
      </c>
      <c r="F33">
        <v>7.22</v>
      </c>
      <c r="G33">
        <v>6.25</v>
      </c>
      <c r="H33">
        <v>8.82</v>
      </c>
    </row>
    <row r="34" spans="1:8" x14ac:dyDescent="0.2">
      <c r="A34" t="s">
        <v>37</v>
      </c>
      <c r="B34">
        <v>7.85</v>
      </c>
      <c r="C34">
        <v>31</v>
      </c>
      <c r="D34">
        <v>9.58</v>
      </c>
      <c r="E34">
        <v>6.43</v>
      </c>
      <c r="F34">
        <v>7.22</v>
      </c>
      <c r="G34">
        <v>7.5</v>
      </c>
      <c r="H34">
        <v>8.5299999999999994</v>
      </c>
    </row>
    <row r="35" spans="1:8" x14ac:dyDescent="0.2">
      <c r="A35" t="s">
        <v>38</v>
      </c>
      <c r="B35">
        <v>7.8</v>
      </c>
      <c r="C35">
        <v>32</v>
      </c>
      <c r="D35">
        <v>9.58</v>
      </c>
      <c r="E35">
        <v>8.93</v>
      </c>
      <c r="F35">
        <v>3.89</v>
      </c>
      <c r="G35">
        <v>6.88</v>
      </c>
      <c r="H35">
        <v>9.7100000000000009</v>
      </c>
    </row>
    <row r="36" spans="1:8" x14ac:dyDescent="0.2">
      <c r="A36" t="s">
        <v>39</v>
      </c>
      <c r="B36">
        <v>7.69</v>
      </c>
      <c r="C36">
        <v>33</v>
      </c>
      <c r="D36">
        <v>9.58</v>
      </c>
      <c r="E36">
        <v>7.14</v>
      </c>
      <c r="F36">
        <v>6.67</v>
      </c>
      <c r="G36">
        <v>5.63</v>
      </c>
      <c r="H36">
        <v>9.41</v>
      </c>
    </row>
    <row r="37" spans="1:8" x14ac:dyDescent="0.2">
      <c r="A37" t="s">
        <v>40</v>
      </c>
      <c r="B37">
        <v>7.65</v>
      </c>
      <c r="C37">
        <f>34</f>
        <v>34</v>
      </c>
      <c r="D37">
        <v>9.58</v>
      </c>
      <c r="E37">
        <v>5.71</v>
      </c>
      <c r="F37">
        <v>6.67</v>
      </c>
      <c r="G37">
        <v>6.88</v>
      </c>
      <c r="H37">
        <v>9.41</v>
      </c>
    </row>
    <row r="38" spans="1:8" x14ac:dyDescent="0.2">
      <c r="A38" t="s">
        <v>58</v>
      </c>
      <c r="B38">
        <v>7.65</v>
      </c>
      <c r="C38">
        <f>34</f>
        <v>34</v>
      </c>
      <c r="D38">
        <v>9.58</v>
      </c>
      <c r="E38">
        <v>5.71</v>
      </c>
      <c r="F38">
        <v>6.67</v>
      </c>
      <c r="G38">
        <v>6.88</v>
      </c>
      <c r="H38">
        <v>9.41</v>
      </c>
    </row>
    <row r="39" spans="1:8" x14ac:dyDescent="0.2">
      <c r="A39" t="s">
        <v>41</v>
      </c>
      <c r="B39">
        <v>7.61</v>
      </c>
      <c r="C39">
        <v>36</v>
      </c>
      <c r="D39">
        <v>9.58</v>
      </c>
      <c r="E39">
        <v>7.14</v>
      </c>
      <c r="F39">
        <v>5</v>
      </c>
      <c r="G39">
        <v>7.5</v>
      </c>
      <c r="H39">
        <v>8.82</v>
      </c>
    </row>
    <row r="40" spans="1:8" x14ac:dyDescent="0.2">
      <c r="A40" t="s">
        <v>42</v>
      </c>
      <c r="B40">
        <v>7.57</v>
      </c>
      <c r="C40">
        <v>37</v>
      </c>
      <c r="D40">
        <v>9.58</v>
      </c>
      <c r="E40">
        <v>7.14</v>
      </c>
      <c r="F40">
        <v>6.11</v>
      </c>
      <c r="G40">
        <v>5.63</v>
      </c>
      <c r="H40">
        <v>9.41</v>
      </c>
    </row>
    <row r="41" spans="1:8" x14ac:dyDescent="0.2">
      <c r="A41" t="s">
        <v>43</v>
      </c>
      <c r="B41">
        <v>7.54</v>
      </c>
      <c r="C41">
        <v>38</v>
      </c>
      <c r="D41">
        <v>9.58</v>
      </c>
      <c r="E41">
        <v>6.07</v>
      </c>
      <c r="F41">
        <v>6.11</v>
      </c>
      <c r="G41">
        <v>6.25</v>
      </c>
      <c r="H41">
        <v>9.7100000000000009</v>
      </c>
    </row>
    <row r="42" spans="1:8" x14ac:dyDescent="0.2">
      <c r="A42" t="s">
        <v>44</v>
      </c>
      <c r="B42">
        <v>7.53</v>
      </c>
      <c r="C42">
        <v>39</v>
      </c>
      <c r="D42">
        <v>8.75</v>
      </c>
      <c r="E42">
        <v>7.5</v>
      </c>
      <c r="F42">
        <v>8.33</v>
      </c>
      <c r="G42">
        <v>7.5</v>
      </c>
      <c r="H42">
        <v>5.59</v>
      </c>
    </row>
    <row r="43" spans="1:8" x14ac:dyDescent="0.2">
      <c r="A43" t="s">
        <v>45</v>
      </c>
      <c r="B43">
        <v>7.39</v>
      </c>
      <c r="C43">
        <v>40</v>
      </c>
      <c r="D43">
        <v>9.17</v>
      </c>
      <c r="E43">
        <v>6.79</v>
      </c>
      <c r="F43">
        <v>5</v>
      </c>
      <c r="G43">
        <v>6.88</v>
      </c>
      <c r="H43">
        <v>9.1199999999999992</v>
      </c>
    </row>
    <row r="44" spans="1:8" x14ac:dyDescent="0.2">
      <c r="A44" t="s">
        <v>46</v>
      </c>
      <c r="B44">
        <v>7.35</v>
      </c>
      <c r="C44">
        <v>41</v>
      </c>
      <c r="D44">
        <v>9.58</v>
      </c>
      <c r="E44">
        <v>7.5</v>
      </c>
      <c r="F44">
        <v>5.56</v>
      </c>
      <c r="G44">
        <v>5</v>
      </c>
      <c r="H44">
        <v>9.1199999999999992</v>
      </c>
    </row>
    <row r="45" spans="1:8" x14ac:dyDescent="0.2">
      <c r="A45" t="s">
        <v>47</v>
      </c>
      <c r="B45">
        <v>7.29</v>
      </c>
      <c r="C45">
        <v>42</v>
      </c>
      <c r="D45">
        <v>9.17</v>
      </c>
      <c r="E45">
        <v>6.43</v>
      </c>
      <c r="F45">
        <v>6.11</v>
      </c>
      <c r="G45">
        <v>5.63</v>
      </c>
      <c r="H45">
        <v>9.1199999999999992</v>
      </c>
    </row>
    <row r="46" spans="1:8" x14ac:dyDescent="0.2">
      <c r="A46" t="s">
        <v>48</v>
      </c>
      <c r="B46">
        <v>7.24</v>
      </c>
      <c r="C46">
        <v>43</v>
      </c>
      <c r="D46">
        <v>8.67</v>
      </c>
      <c r="E46">
        <v>7.14</v>
      </c>
      <c r="F46">
        <v>5.56</v>
      </c>
      <c r="G46">
        <v>6.88</v>
      </c>
      <c r="H46">
        <v>7.94</v>
      </c>
    </row>
    <row r="47" spans="1:8" x14ac:dyDescent="0.2">
      <c r="A47" t="s">
        <v>49</v>
      </c>
      <c r="B47">
        <v>7.12</v>
      </c>
      <c r="C47">
        <f>44</f>
        <v>44</v>
      </c>
      <c r="D47">
        <v>9.58</v>
      </c>
      <c r="E47">
        <v>6.43</v>
      </c>
      <c r="F47">
        <v>6.11</v>
      </c>
      <c r="G47">
        <v>4.38</v>
      </c>
      <c r="H47">
        <v>9.1199999999999992</v>
      </c>
    </row>
    <row r="48" spans="1:8" x14ac:dyDescent="0.2">
      <c r="A48" t="s">
        <v>50</v>
      </c>
      <c r="B48">
        <v>7.12</v>
      </c>
      <c r="C48">
        <f>44</f>
        <v>44</v>
      </c>
      <c r="D48">
        <v>9.58</v>
      </c>
      <c r="E48">
        <v>7.5</v>
      </c>
      <c r="F48">
        <v>5</v>
      </c>
      <c r="G48">
        <v>4.38</v>
      </c>
      <c r="H48">
        <v>9.1199999999999992</v>
      </c>
    </row>
    <row r="49" spans="1:8" x14ac:dyDescent="0.2">
      <c r="A49" t="s">
        <v>51</v>
      </c>
      <c r="B49">
        <v>7.08</v>
      </c>
      <c r="C49">
        <v>46</v>
      </c>
      <c r="D49">
        <v>9.58</v>
      </c>
      <c r="E49">
        <v>6.43</v>
      </c>
      <c r="F49">
        <v>5.56</v>
      </c>
      <c r="G49">
        <v>5</v>
      </c>
      <c r="H49">
        <v>8.82</v>
      </c>
    </row>
    <row r="50" spans="1:8" x14ac:dyDescent="0.2">
      <c r="A50" t="s">
        <v>52</v>
      </c>
      <c r="B50">
        <v>7.05</v>
      </c>
      <c r="C50">
        <v>47</v>
      </c>
      <c r="D50">
        <v>9.58</v>
      </c>
      <c r="E50">
        <v>5.36</v>
      </c>
      <c r="F50">
        <v>5.56</v>
      </c>
      <c r="G50">
        <v>5.63</v>
      </c>
      <c r="H50">
        <v>9.1199999999999992</v>
      </c>
    </row>
    <row r="51" spans="1:8" x14ac:dyDescent="0.2">
      <c r="A51" t="s">
        <v>64</v>
      </c>
      <c r="B51">
        <v>6.99</v>
      </c>
      <c r="C51">
        <v>48</v>
      </c>
      <c r="D51">
        <v>9.58</v>
      </c>
      <c r="E51">
        <v>7.14</v>
      </c>
      <c r="F51">
        <v>5</v>
      </c>
      <c r="G51">
        <v>5</v>
      </c>
      <c r="H51">
        <v>8.24</v>
      </c>
    </row>
    <row r="52" spans="1:8" x14ac:dyDescent="0.2">
      <c r="A52" t="s">
        <v>60</v>
      </c>
      <c r="B52">
        <v>6.96</v>
      </c>
      <c r="C52">
        <v>49</v>
      </c>
      <c r="D52">
        <v>9.17</v>
      </c>
      <c r="E52">
        <v>6.07</v>
      </c>
      <c r="F52">
        <v>4.4400000000000004</v>
      </c>
      <c r="G52">
        <v>6.88</v>
      </c>
      <c r="H52">
        <v>8.24</v>
      </c>
    </row>
    <row r="53" spans="1:8" x14ac:dyDescent="0.2">
      <c r="A53" t="s">
        <v>53</v>
      </c>
      <c r="B53">
        <v>6.93</v>
      </c>
      <c r="C53">
        <v>50</v>
      </c>
      <c r="D53">
        <v>9.17</v>
      </c>
      <c r="E53">
        <v>6.07</v>
      </c>
      <c r="F53">
        <v>5.56</v>
      </c>
      <c r="G53">
        <v>5.63</v>
      </c>
      <c r="H53">
        <v>8.24</v>
      </c>
    </row>
    <row r="54" spans="1:8" x14ac:dyDescent="0.2">
      <c r="A54" t="s">
        <v>54</v>
      </c>
      <c r="B54">
        <v>6.91</v>
      </c>
      <c r="C54">
        <v>51</v>
      </c>
      <c r="D54">
        <v>8.75</v>
      </c>
      <c r="E54">
        <v>6.79</v>
      </c>
      <c r="F54">
        <v>6.67</v>
      </c>
      <c r="G54">
        <v>5</v>
      </c>
      <c r="H54">
        <v>7.35</v>
      </c>
    </row>
    <row r="55" spans="1:8" x14ac:dyDescent="0.2">
      <c r="A55" t="s">
        <v>55</v>
      </c>
      <c r="B55">
        <v>6.84</v>
      </c>
      <c r="C55">
        <v>52</v>
      </c>
      <c r="D55">
        <v>8.75</v>
      </c>
      <c r="E55">
        <v>5.71</v>
      </c>
      <c r="F55">
        <v>5.56</v>
      </c>
      <c r="G55">
        <v>6.25</v>
      </c>
      <c r="H55">
        <v>7.94</v>
      </c>
    </row>
    <row r="56" spans="1:8" x14ac:dyDescent="0.2">
      <c r="A56" t="s">
        <v>61</v>
      </c>
      <c r="B56">
        <v>6.83</v>
      </c>
      <c r="C56">
        <v>53</v>
      </c>
      <c r="D56">
        <v>9.17</v>
      </c>
      <c r="E56">
        <v>5.71</v>
      </c>
      <c r="F56">
        <v>6.67</v>
      </c>
      <c r="G56">
        <v>4.38</v>
      </c>
      <c r="H56">
        <v>8.24</v>
      </c>
    </row>
    <row r="57" spans="1:8" x14ac:dyDescent="0.2">
      <c r="A57" t="s">
        <v>56</v>
      </c>
      <c r="B57">
        <v>6.82</v>
      </c>
      <c r="C57">
        <v>54</v>
      </c>
      <c r="D57">
        <v>6.92</v>
      </c>
      <c r="E57">
        <v>7.5</v>
      </c>
      <c r="F57">
        <v>6.67</v>
      </c>
      <c r="G57">
        <v>6.25</v>
      </c>
      <c r="H57">
        <v>6.76</v>
      </c>
    </row>
    <row r="58" spans="1:8" x14ac:dyDescent="0.2">
      <c r="A58" t="s">
        <v>59</v>
      </c>
      <c r="B58">
        <v>6.77</v>
      </c>
      <c r="C58">
        <v>55</v>
      </c>
      <c r="D58">
        <v>9.17</v>
      </c>
      <c r="E58">
        <v>6.43</v>
      </c>
      <c r="F58">
        <v>5</v>
      </c>
      <c r="G58">
        <v>5</v>
      </c>
      <c r="H58">
        <v>8.24</v>
      </c>
    </row>
    <row r="59" spans="1:8" x14ac:dyDescent="0.2">
      <c r="A59" t="s">
        <v>65</v>
      </c>
      <c r="B59">
        <v>6.74</v>
      </c>
      <c r="C59">
        <v>56</v>
      </c>
      <c r="D59">
        <v>8.75</v>
      </c>
      <c r="E59">
        <v>6.07</v>
      </c>
      <c r="F59">
        <v>5</v>
      </c>
      <c r="G59">
        <v>6.25</v>
      </c>
      <c r="H59">
        <v>7.65</v>
      </c>
    </row>
    <row r="60" spans="1:8" x14ac:dyDescent="0.2">
      <c r="A60" t="s">
        <v>57</v>
      </c>
      <c r="B60">
        <v>6.67</v>
      </c>
      <c r="C60">
        <v>57</v>
      </c>
      <c r="D60">
        <v>9.17</v>
      </c>
      <c r="E60">
        <v>5.71</v>
      </c>
      <c r="F60">
        <v>6.11</v>
      </c>
      <c r="G60">
        <v>5</v>
      </c>
      <c r="H60">
        <v>7.35</v>
      </c>
    </row>
    <row r="61" spans="1:8" x14ac:dyDescent="0.2">
      <c r="A61" t="s">
        <v>66</v>
      </c>
      <c r="B61">
        <v>6.66</v>
      </c>
      <c r="C61">
        <v>58</v>
      </c>
      <c r="D61">
        <v>8.25</v>
      </c>
      <c r="E61">
        <v>5.71</v>
      </c>
      <c r="F61">
        <v>6.67</v>
      </c>
      <c r="G61">
        <v>5.63</v>
      </c>
      <c r="H61">
        <v>7.06</v>
      </c>
    </row>
    <row r="62" spans="1:8" x14ac:dyDescent="0.2">
      <c r="A62" t="s">
        <v>67</v>
      </c>
      <c r="B62">
        <v>6.55</v>
      </c>
      <c r="C62">
        <v>59</v>
      </c>
      <c r="D62">
        <v>9.17</v>
      </c>
      <c r="E62">
        <v>7.14</v>
      </c>
      <c r="F62">
        <v>3.89</v>
      </c>
      <c r="G62">
        <v>3.75</v>
      </c>
      <c r="H62">
        <v>8.82</v>
      </c>
    </row>
    <row r="63" spans="1:8" x14ac:dyDescent="0.2">
      <c r="A63" t="s">
        <v>68</v>
      </c>
      <c r="B63">
        <v>6.54</v>
      </c>
      <c r="C63">
        <f>60</f>
        <v>60</v>
      </c>
      <c r="D63">
        <v>9.58</v>
      </c>
      <c r="E63">
        <v>6.07</v>
      </c>
      <c r="F63">
        <v>4.4400000000000004</v>
      </c>
      <c r="G63">
        <v>4.38</v>
      </c>
      <c r="H63">
        <v>8.24</v>
      </c>
    </row>
    <row r="64" spans="1:8" x14ac:dyDescent="0.2">
      <c r="A64" t="s">
        <v>69</v>
      </c>
      <c r="B64">
        <v>6.54</v>
      </c>
      <c r="C64">
        <f>60</f>
        <v>60</v>
      </c>
      <c r="D64">
        <v>9.17</v>
      </c>
      <c r="E64">
        <v>5</v>
      </c>
      <c r="F64">
        <v>5</v>
      </c>
      <c r="G64">
        <v>5</v>
      </c>
      <c r="H64">
        <v>8.5299999999999994</v>
      </c>
    </row>
    <row r="65" spans="1:8" x14ac:dyDescent="0.2">
      <c r="A65" t="s">
        <v>70</v>
      </c>
      <c r="B65">
        <v>6.53</v>
      </c>
      <c r="C65">
        <v>62</v>
      </c>
      <c r="D65">
        <v>9.17</v>
      </c>
      <c r="E65">
        <v>6.07</v>
      </c>
      <c r="F65">
        <v>3.89</v>
      </c>
      <c r="G65">
        <v>5</v>
      </c>
      <c r="H65">
        <v>8.5299999999999994</v>
      </c>
    </row>
    <row r="66" spans="1:8" x14ac:dyDescent="0.2">
      <c r="A66" t="s">
        <v>71</v>
      </c>
      <c r="B66">
        <v>6.51</v>
      </c>
      <c r="C66">
        <v>63</v>
      </c>
      <c r="D66">
        <v>9.17</v>
      </c>
      <c r="E66">
        <v>5.71</v>
      </c>
      <c r="F66">
        <v>4.4400000000000004</v>
      </c>
      <c r="G66">
        <v>5</v>
      </c>
      <c r="H66">
        <v>8.24</v>
      </c>
    </row>
    <row r="67" spans="1:8" x14ac:dyDescent="0.2">
      <c r="A67" t="s">
        <v>72</v>
      </c>
      <c r="B67">
        <v>6.49</v>
      </c>
      <c r="C67">
        <v>64</v>
      </c>
      <c r="D67">
        <v>6.92</v>
      </c>
      <c r="E67">
        <v>7.86</v>
      </c>
      <c r="F67">
        <v>5.56</v>
      </c>
      <c r="G67">
        <v>6.25</v>
      </c>
      <c r="H67">
        <v>5.88</v>
      </c>
    </row>
    <row r="68" spans="1:8" x14ac:dyDescent="0.2">
      <c r="A68" t="s">
        <v>73</v>
      </c>
      <c r="B68">
        <v>6.42</v>
      </c>
      <c r="C68">
        <v>65</v>
      </c>
      <c r="D68">
        <v>4.75</v>
      </c>
      <c r="E68">
        <v>6.07</v>
      </c>
      <c r="F68">
        <v>5</v>
      </c>
      <c r="G68">
        <v>6.88</v>
      </c>
      <c r="H68">
        <v>9.41</v>
      </c>
    </row>
    <row r="69" spans="1:8" x14ac:dyDescent="0.2">
      <c r="A69" t="s">
        <v>74</v>
      </c>
      <c r="B69">
        <v>6.41</v>
      </c>
      <c r="C69">
        <v>66</v>
      </c>
      <c r="D69">
        <v>8.33</v>
      </c>
      <c r="E69">
        <v>5.36</v>
      </c>
      <c r="F69">
        <v>6.11</v>
      </c>
      <c r="G69">
        <v>3.13</v>
      </c>
      <c r="H69">
        <v>9.1199999999999992</v>
      </c>
    </row>
    <row r="70" spans="1:8" x14ac:dyDescent="0.2">
      <c r="A70" t="s">
        <v>75</v>
      </c>
      <c r="B70">
        <v>6.36</v>
      </c>
      <c r="C70">
        <v>67</v>
      </c>
      <c r="D70">
        <v>7.33</v>
      </c>
      <c r="E70">
        <v>6.07</v>
      </c>
      <c r="F70">
        <v>3.89</v>
      </c>
      <c r="G70">
        <v>6.25</v>
      </c>
      <c r="H70">
        <v>8.24</v>
      </c>
    </row>
    <row r="71" spans="1:8" x14ac:dyDescent="0.2">
      <c r="A71" t="s">
        <v>76</v>
      </c>
      <c r="B71">
        <v>6.33</v>
      </c>
      <c r="C71">
        <v>68</v>
      </c>
      <c r="D71">
        <v>8.33</v>
      </c>
      <c r="E71">
        <v>5.36</v>
      </c>
      <c r="F71">
        <v>5.56</v>
      </c>
      <c r="G71">
        <v>5.63</v>
      </c>
      <c r="H71">
        <v>6.76</v>
      </c>
    </row>
    <row r="72" spans="1:8" x14ac:dyDescent="0.2">
      <c r="A72" t="s">
        <v>77</v>
      </c>
      <c r="B72">
        <v>6.32</v>
      </c>
      <c r="C72">
        <v>69</v>
      </c>
      <c r="D72">
        <v>8.75</v>
      </c>
      <c r="E72">
        <v>5</v>
      </c>
      <c r="F72">
        <v>5.56</v>
      </c>
      <c r="G72">
        <v>4.38</v>
      </c>
      <c r="H72">
        <v>7.94</v>
      </c>
    </row>
    <row r="73" spans="1:8" x14ac:dyDescent="0.2">
      <c r="A73" t="s">
        <v>78</v>
      </c>
      <c r="B73">
        <v>6.26</v>
      </c>
      <c r="C73">
        <f>70</f>
        <v>70</v>
      </c>
      <c r="D73">
        <v>7.92</v>
      </c>
      <c r="E73">
        <v>5.36</v>
      </c>
      <c r="F73">
        <v>4.4400000000000004</v>
      </c>
      <c r="G73">
        <v>6.25</v>
      </c>
      <c r="H73">
        <v>7.35</v>
      </c>
    </row>
    <row r="74" spans="1:8" x14ac:dyDescent="0.2">
      <c r="A74" t="s">
        <v>79</v>
      </c>
      <c r="B74">
        <v>6.26</v>
      </c>
      <c r="C74">
        <f>70</f>
        <v>70</v>
      </c>
      <c r="D74">
        <v>8.33</v>
      </c>
      <c r="E74">
        <v>5.36</v>
      </c>
      <c r="F74">
        <v>5</v>
      </c>
      <c r="G74">
        <v>4.38</v>
      </c>
      <c r="H74">
        <v>8.24</v>
      </c>
    </row>
    <row r="75" spans="1:8" x14ac:dyDescent="0.2">
      <c r="A75" t="s">
        <v>80</v>
      </c>
      <c r="B75">
        <v>6.25</v>
      </c>
      <c r="C75">
        <v>72</v>
      </c>
      <c r="D75">
        <v>7.83</v>
      </c>
      <c r="E75">
        <v>6.07</v>
      </c>
      <c r="F75">
        <v>5.56</v>
      </c>
      <c r="G75">
        <v>5</v>
      </c>
      <c r="H75">
        <v>6.76</v>
      </c>
    </row>
    <row r="76" spans="1:8" x14ac:dyDescent="0.2">
      <c r="A76" t="s">
        <v>81</v>
      </c>
      <c r="B76">
        <v>6.24</v>
      </c>
      <c r="C76">
        <v>73</v>
      </c>
      <c r="D76">
        <v>5.67</v>
      </c>
      <c r="E76">
        <v>5</v>
      </c>
      <c r="F76">
        <v>6.67</v>
      </c>
      <c r="G76">
        <v>5.63</v>
      </c>
      <c r="H76">
        <v>8.24</v>
      </c>
    </row>
    <row r="77" spans="1:8" x14ac:dyDescent="0.2">
      <c r="A77" t="s">
        <v>82</v>
      </c>
      <c r="B77">
        <v>6.16</v>
      </c>
      <c r="C77">
        <v>74</v>
      </c>
      <c r="D77">
        <v>7.75</v>
      </c>
      <c r="E77">
        <v>4.6399999999999997</v>
      </c>
      <c r="F77">
        <v>6.11</v>
      </c>
      <c r="G77">
        <v>4.38</v>
      </c>
      <c r="H77">
        <v>7.94</v>
      </c>
    </row>
    <row r="78" spans="1:8" x14ac:dyDescent="0.2">
      <c r="A78" t="s">
        <v>83</v>
      </c>
      <c r="B78">
        <v>6.15</v>
      </c>
      <c r="C78">
        <v>75</v>
      </c>
      <c r="D78">
        <v>7.92</v>
      </c>
      <c r="E78">
        <v>5.71</v>
      </c>
      <c r="F78">
        <v>4.4400000000000004</v>
      </c>
      <c r="G78">
        <v>5.63</v>
      </c>
      <c r="H78">
        <v>7.06</v>
      </c>
    </row>
    <row r="79" spans="1:8" x14ac:dyDescent="0.2">
      <c r="A79" t="s">
        <v>84</v>
      </c>
      <c r="B79">
        <v>6.05</v>
      </c>
      <c r="C79">
        <v>76</v>
      </c>
      <c r="D79">
        <v>7.92</v>
      </c>
      <c r="E79">
        <v>5.36</v>
      </c>
      <c r="F79">
        <v>5.56</v>
      </c>
      <c r="G79">
        <v>4.38</v>
      </c>
      <c r="H79">
        <v>7.06</v>
      </c>
    </row>
    <row r="80" spans="1:8" x14ac:dyDescent="0.2">
      <c r="A80" t="s">
        <v>85</v>
      </c>
      <c r="B80">
        <v>6</v>
      </c>
      <c r="C80">
        <v>77</v>
      </c>
      <c r="D80">
        <v>7</v>
      </c>
      <c r="E80">
        <v>5</v>
      </c>
      <c r="F80">
        <v>5.56</v>
      </c>
      <c r="G80">
        <v>6.25</v>
      </c>
      <c r="H80">
        <v>6.18</v>
      </c>
    </row>
    <row r="81" spans="1:8" x14ac:dyDescent="0.2">
      <c r="A81" s="1" t="s">
        <v>86</v>
      </c>
      <c r="B81" s="1"/>
      <c r="C81" s="1"/>
      <c r="D81" s="1"/>
      <c r="E81" s="1"/>
      <c r="F81" s="1"/>
      <c r="G81" s="1"/>
      <c r="H81" s="1"/>
    </row>
    <row r="82" spans="1:8" x14ac:dyDescent="0.2">
      <c r="A82" t="s">
        <v>87</v>
      </c>
      <c r="B82">
        <v>5.95</v>
      </c>
      <c r="C82">
        <v>78</v>
      </c>
      <c r="D82">
        <v>8.67</v>
      </c>
      <c r="E82">
        <v>4.6399999999999997</v>
      </c>
      <c r="F82">
        <v>5.56</v>
      </c>
      <c r="G82">
        <v>5</v>
      </c>
      <c r="H82">
        <v>5.88</v>
      </c>
    </row>
    <row r="83" spans="1:8" x14ac:dyDescent="0.2">
      <c r="A83" t="s">
        <v>88</v>
      </c>
      <c r="B83">
        <v>5.94</v>
      </c>
      <c r="C83">
        <v>79</v>
      </c>
      <c r="D83">
        <v>7.92</v>
      </c>
      <c r="E83">
        <v>5.36</v>
      </c>
      <c r="F83">
        <v>5</v>
      </c>
      <c r="G83">
        <v>4.38</v>
      </c>
      <c r="H83">
        <v>7.06</v>
      </c>
    </row>
    <row r="84" spans="1:8" x14ac:dyDescent="0.2">
      <c r="A84" t="s">
        <v>89</v>
      </c>
      <c r="B84">
        <v>5.92</v>
      </c>
      <c r="C84">
        <v>80</v>
      </c>
      <c r="D84">
        <v>4.33</v>
      </c>
      <c r="E84">
        <v>7.14</v>
      </c>
      <c r="F84">
        <v>3.89</v>
      </c>
      <c r="G84">
        <v>6.88</v>
      </c>
      <c r="H84">
        <v>7.35</v>
      </c>
    </row>
    <row r="85" spans="1:8" x14ac:dyDescent="0.2">
      <c r="A85" t="s">
        <v>90</v>
      </c>
      <c r="B85">
        <v>5.9</v>
      </c>
      <c r="C85">
        <v>81</v>
      </c>
      <c r="D85">
        <v>7.83</v>
      </c>
      <c r="E85">
        <v>3.93</v>
      </c>
      <c r="F85">
        <v>5</v>
      </c>
      <c r="G85">
        <v>6.25</v>
      </c>
      <c r="H85">
        <v>6.47</v>
      </c>
    </row>
    <row r="86" spans="1:8" x14ac:dyDescent="0.2">
      <c r="A86" t="s">
        <v>91</v>
      </c>
      <c r="B86">
        <v>5.87</v>
      </c>
      <c r="C86">
        <f>82</f>
        <v>82</v>
      </c>
      <c r="D86">
        <v>7.33</v>
      </c>
      <c r="E86">
        <v>6.07</v>
      </c>
      <c r="F86">
        <v>4.4400000000000004</v>
      </c>
      <c r="G86">
        <v>5.63</v>
      </c>
      <c r="H86">
        <v>5.88</v>
      </c>
    </row>
    <row r="87" spans="1:8" x14ac:dyDescent="0.2">
      <c r="A87" t="s">
        <v>92</v>
      </c>
      <c r="B87">
        <v>5.87</v>
      </c>
      <c r="C87">
        <f>82</f>
        <v>82</v>
      </c>
      <c r="D87">
        <v>8.25</v>
      </c>
      <c r="E87">
        <v>4.6399999999999997</v>
      </c>
      <c r="F87">
        <v>5</v>
      </c>
      <c r="G87">
        <v>4.38</v>
      </c>
      <c r="H87">
        <v>7.06</v>
      </c>
    </row>
    <row r="88" spans="1:8" x14ac:dyDescent="0.2">
      <c r="A88" t="s">
        <v>93</v>
      </c>
      <c r="B88">
        <v>5.86</v>
      </c>
      <c r="C88">
        <v>84</v>
      </c>
      <c r="D88">
        <v>7.42</v>
      </c>
      <c r="E88">
        <v>5.43</v>
      </c>
      <c r="F88">
        <v>5</v>
      </c>
      <c r="G88">
        <v>4.38</v>
      </c>
      <c r="H88">
        <v>7.06</v>
      </c>
    </row>
    <row r="89" spans="1:8" x14ac:dyDescent="0.2">
      <c r="A89" t="s">
        <v>94</v>
      </c>
      <c r="B89">
        <v>5.84</v>
      </c>
      <c r="C89">
        <f>85</f>
        <v>85</v>
      </c>
      <c r="D89">
        <v>8.75</v>
      </c>
      <c r="E89">
        <v>5.71</v>
      </c>
      <c r="F89">
        <v>3.89</v>
      </c>
      <c r="G89">
        <v>4.38</v>
      </c>
      <c r="H89">
        <v>6.47</v>
      </c>
    </row>
    <row r="90" spans="1:8" x14ac:dyDescent="0.2">
      <c r="A90" t="s">
        <v>95</v>
      </c>
      <c r="B90">
        <v>5.84</v>
      </c>
      <c r="C90">
        <f>85</f>
        <v>85</v>
      </c>
      <c r="D90">
        <v>7.92</v>
      </c>
      <c r="E90">
        <v>4.29</v>
      </c>
      <c r="F90">
        <v>5.56</v>
      </c>
      <c r="G90">
        <v>4.38</v>
      </c>
      <c r="H90">
        <v>7.06</v>
      </c>
    </row>
    <row r="91" spans="1:8" x14ac:dyDescent="0.2">
      <c r="A91" t="s">
        <v>96</v>
      </c>
      <c r="B91">
        <v>5.81</v>
      </c>
      <c r="C91">
        <v>87</v>
      </c>
      <c r="D91">
        <v>7.92</v>
      </c>
      <c r="E91">
        <v>6.07</v>
      </c>
      <c r="F91">
        <v>3.33</v>
      </c>
      <c r="G91">
        <v>4.38</v>
      </c>
      <c r="H91">
        <v>7.35</v>
      </c>
    </row>
    <row r="92" spans="1:8" x14ac:dyDescent="0.2">
      <c r="A92" t="s">
        <v>97</v>
      </c>
      <c r="B92">
        <v>5.79</v>
      </c>
      <c r="C92">
        <v>88</v>
      </c>
      <c r="D92">
        <v>7</v>
      </c>
      <c r="E92">
        <v>5</v>
      </c>
      <c r="F92">
        <v>5.56</v>
      </c>
      <c r="G92">
        <v>3.75</v>
      </c>
      <c r="H92">
        <v>7.65</v>
      </c>
    </row>
    <row r="93" spans="1:8" x14ac:dyDescent="0.2">
      <c r="A93" t="s">
        <v>98</v>
      </c>
      <c r="B93">
        <v>5.77</v>
      </c>
      <c r="C93">
        <v>89</v>
      </c>
      <c r="D93">
        <v>7.42</v>
      </c>
      <c r="E93">
        <v>4.6399999999999997</v>
      </c>
      <c r="F93">
        <v>5.56</v>
      </c>
      <c r="G93">
        <v>5.63</v>
      </c>
      <c r="H93">
        <v>5.59</v>
      </c>
    </row>
    <row r="94" spans="1:8" x14ac:dyDescent="0.2">
      <c r="A94" t="s">
        <v>99</v>
      </c>
      <c r="B94">
        <v>5.76</v>
      </c>
      <c r="C94">
        <v>90</v>
      </c>
      <c r="D94">
        <v>6.17</v>
      </c>
      <c r="E94">
        <v>5</v>
      </c>
      <c r="F94">
        <v>6.67</v>
      </c>
      <c r="G94">
        <v>6.25</v>
      </c>
      <c r="H94">
        <v>4.71</v>
      </c>
    </row>
    <row r="95" spans="1:8" x14ac:dyDescent="0.2">
      <c r="A95" t="s">
        <v>100</v>
      </c>
      <c r="B95">
        <v>5.69</v>
      </c>
      <c r="C95">
        <v>91</v>
      </c>
      <c r="D95">
        <v>6.17</v>
      </c>
      <c r="E95">
        <v>5.36</v>
      </c>
      <c r="F95">
        <v>4.4400000000000004</v>
      </c>
      <c r="G95">
        <v>6.88</v>
      </c>
      <c r="H95">
        <v>5.59</v>
      </c>
    </row>
    <row r="96" spans="1:8" x14ac:dyDescent="0.2">
      <c r="A96" t="s">
        <v>101</v>
      </c>
      <c r="B96">
        <v>5.67</v>
      </c>
      <c r="C96">
        <v>92</v>
      </c>
      <c r="D96">
        <v>7</v>
      </c>
      <c r="E96">
        <v>4</v>
      </c>
      <c r="F96">
        <v>5</v>
      </c>
      <c r="G96">
        <v>5</v>
      </c>
      <c r="H96">
        <v>7.35</v>
      </c>
    </row>
    <row r="97" spans="1:8" x14ac:dyDescent="0.2">
      <c r="A97" t="s">
        <v>102</v>
      </c>
      <c r="B97">
        <v>5.63</v>
      </c>
      <c r="C97">
        <v>93</v>
      </c>
      <c r="D97">
        <v>7.92</v>
      </c>
      <c r="E97">
        <v>6.43</v>
      </c>
      <c r="F97">
        <v>5</v>
      </c>
      <c r="G97">
        <v>5</v>
      </c>
      <c r="H97">
        <v>3.82</v>
      </c>
    </row>
    <row r="98" spans="1:8" x14ac:dyDescent="0.2">
      <c r="A98" t="s">
        <v>103</v>
      </c>
      <c r="B98">
        <v>5.46</v>
      </c>
      <c r="C98">
        <v>94</v>
      </c>
      <c r="D98">
        <v>6.17</v>
      </c>
      <c r="E98">
        <v>4</v>
      </c>
      <c r="F98">
        <v>4.4400000000000004</v>
      </c>
      <c r="G98">
        <v>5.63</v>
      </c>
      <c r="H98">
        <v>7.06</v>
      </c>
    </row>
    <row r="99" spans="1:8" x14ac:dyDescent="0.2">
      <c r="A99" t="s">
        <v>104</v>
      </c>
      <c r="B99">
        <v>5.22</v>
      </c>
      <c r="C99">
        <v>95</v>
      </c>
      <c r="D99">
        <v>5.67</v>
      </c>
      <c r="E99">
        <v>3.57</v>
      </c>
      <c r="F99">
        <v>4.4400000000000004</v>
      </c>
      <c r="G99">
        <v>6.25</v>
      </c>
      <c r="H99">
        <v>6.18</v>
      </c>
    </row>
    <row r="100" spans="1:8" x14ac:dyDescent="0.2">
      <c r="A100" t="s">
        <v>105</v>
      </c>
      <c r="B100">
        <v>5.13</v>
      </c>
      <c r="C100">
        <v>96</v>
      </c>
      <c r="D100">
        <v>4.33</v>
      </c>
      <c r="E100">
        <v>4.29</v>
      </c>
      <c r="F100">
        <v>6.11</v>
      </c>
      <c r="G100">
        <v>5.63</v>
      </c>
      <c r="H100">
        <v>5.29</v>
      </c>
    </row>
    <row r="101" spans="1:8" x14ac:dyDescent="0.2">
      <c r="A101" t="s">
        <v>106</v>
      </c>
      <c r="B101">
        <v>5.07</v>
      </c>
      <c r="C101">
        <v>97</v>
      </c>
      <c r="D101">
        <v>5.25</v>
      </c>
      <c r="E101">
        <v>4.29</v>
      </c>
      <c r="F101">
        <v>5.56</v>
      </c>
      <c r="G101">
        <v>4.38</v>
      </c>
      <c r="H101">
        <v>5.88</v>
      </c>
    </row>
    <row r="102" spans="1:8" x14ac:dyDescent="0.2">
      <c r="A102" t="s">
        <v>107</v>
      </c>
      <c r="B102">
        <v>5.05</v>
      </c>
      <c r="C102">
        <v>98</v>
      </c>
      <c r="D102">
        <v>5.67</v>
      </c>
      <c r="E102">
        <v>1.79</v>
      </c>
      <c r="F102">
        <v>7.22</v>
      </c>
      <c r="G102">
        <v>5</v>
      </c>
      <c r="H102">
        <v>5.59</v>
      </c>
    </row>
    <row r="103" spans="1:8" x14ac:dyDescent="0.2">
      <c r="A103" t="s">
        <v>165</v>
      </c>
      <c r="B103">
        <v>5.0199999999999996</v>
      </c>
      <c r="C103">
        <v>99</v>
      </c>
      <c r="D103">
        <v>6.5</v>
      </c>
      <c r="E103">
        <v>2.93</v>
      </c>
      <c r="F103">
        <v>3.33</v>
      </c>
      <c r="G103">
        <v>5</v>
      </c>
      <c r="H103">
        <v>7.35</v>
      </c>
    </row>
    <row r="104" spans="1:8" x14ac:dyDescent="0.2">
      <c r="A104" t="s">
        <v>108</v>
      </c>
      <c r="B104">
        <v>4.95</v>
      </c>
      <c r="C104">
        <v>100</v>
      </c>
      <c r="D104">
        <v>7.83</v>
      </c>
      <c r="E104">
        <v>0.79</v>
      </c>
      <c r="F104">
        <v>5.56</v>
      </c>
      <c r="G104">
        <v>5</v>
      </c>
      <c r="H104">
        <v>5.59</v>
      </c>
    </row>
    <row r="105" spans="1:8" x14ac:dyDescent="0.2">
      <c r="A105" t="s">
        <v>109</v>
      </c>
      <c r="B105">
        <v>4.82</v>
      </c>
      <c r="C105">
        <f>101</f>
        <v>101</v>
      </c>
      <c r="D105">
        <v>7.5</v>
      </c>
      <c r="E105">
        <v>5.36</v>
      </c>
      <c r="F105">
        <v>3.33</v>
      </c>
      <c r="G105">
        <v>4.38</v>
      </c>
      <c r="H105">
        <v>3.53</v>
      </c>
    </row>
    <row r="106" spans="1:8" x14ac:dyDescent="0.2">
      <c r="A106" t="s">
        <v>110</v>
      </c>
      <c r="B106">
        <v>4.82</v>
      </c>
      <c r="C106">
        <f>101</f>
        <v>101</v>
      </c>
      <c r="D106">
        <v>4.33</v>
      </c>
      <c r="E106">
        <v>4.6399999999999997</v>
      </c>
      <c r="F106">
        <v>3.89</v>
      </c>
      <c r="G106">
        <v>5.63</v>
      </c>
      <c r="H106">
        <v>5.59</v>
      </c>
    </row>
    <row r="107" spans="1:8" x14ac:dyDescent="0.2">
      <c r="A107" t="s">
        <v>111</v>
      </c>
      <c r="B107">
        <v>4.8</v>
      </c>
      <c r="C107">
        <v>103</v>
      </c>
      <c r="D107">
        <v>5.17</v>
      </c>
      <c r="E107">
        <v>2.86</v>
      </c>
      <c r="F107">
        <v>7.78</v>
      </c>
      <c r="G107">
        <v>4.38</v>
      </c>
      <c r="H107">
        <v>3.82</v>
      </c>
    </row>
    <row r="108" spans="1:8" x14ac:dyDescent="0.2">
      <c r="A108" t="s">
        <v>112</v>
      </c>
      <c r="B108">
        <v>4.7699999999999996</v>
      </c>
      <c r="C108">
        <f>104</f>
        <v>104</v>
      </c>
      <c r="D108">
        <v>3.92</v>
      </c>
      <c r="E108">
        <v>4.29</v>
      </c>
      <c r="F108">
        <v>4.4400000000000004</v>
      </c>
      <c r="G108">
        <v>5.63</v>
      </c>
      <c r="H108">
        <v>5.59</v>
      </c>
    </row>
    <row r="109" spans="1:8" x14ac:dyDescent="0.2">
      <c r="A109" t="s">
        <v>113</v>
      </c>
      <c r="B109">
        <v>4.7699999999999996</v>
      </c>
      <c r="C109">
        <f>104</f>
        <v>104</v>
      </c>
      <c r="D109">
        <v>4.42</v>
      </c>
      <c r="E109">
        <v>3.57</v>
      </c>
      <c r="F109">
        <v>6.11</v>
      </c>
      <c r="G109">
        <v>5.63</v>
      </c>
      <c r="H109">
        <v>4.12</v>
      </c>
    </row>
    <row r="110" spans="1:8" x14ac:dyDescent="0.2">
      <c r="A110" t="s">
        <v>164</v>
      </c>
      <c r="B110">
        <v>4.6900000000000004</v>
      </c>
      <c r="C110">
        <v>106</v>
      </c>
      <c r="D110">
        <v>6.58</v>
      </c>
      <c r="E110">
        <v>2.21</v>
      </c>
      <c r="F110">
        <v>5</v>
      </c>
      <c r="G110">
        <v>4.38</v>
      </c>
      <c r="H110">
        <v>5.29</v>
      </c>
    </row>
    <row r="111" spans="1:8" x14ac:dyDescent="0.2">
      <c r="A111" t="s">
        <v>114</v>
      </c>
      <c r="B111">
        <v>4.6399999999999997</v>
      </c>
      <c r="C111">
        <f>107</f>
        <v>107</v>
      </c>
      <c r="D111">
        <v>6</v>
      </c>
      <c r="E111">
        <v>5.36</v>
      </c>
      <c r="F111">
        <v>2.78</v>
      </c>
      <c r="G111">
        <v>3.75</v>
      </c>
      <c r="H111">
        <v>5.29</v>
      </c>
    </row>
    <row r="112" spans="1:8" x14ac:dyDescent="0.2">
      <c r="A112" t="s">
        <v>115</v>
      </c>
      <c r="B112">
        <v>4.6399999999999997</v>
      </c>
      <c r="C112">
        <f>107</f>
        <v>107</v>
      </c>
      <c r="D112">
        <v>7</v>
      </c>
      <c r="E112">
        <v>1.86</v>
      </c>
      <c r="F112">
        <v>2.78</v>
      </c>
      <c r="G112">
        <v>6.25</v>
      </c>
      <c r="H112">
        <v>5.29</v>
      </c>
    </row>
    <row r="113" spans="1:8" x14ac:dyDescent="0.2">
      <c r="A113" t="s">
        <v>116</v>
      </c>
      <c r="B113">
        <v>4.5999999999999996</v>
      </c>
      <c r="C113">
        <v>109</v>
      </c>
      <c r="D113">
        <v>4.42</v>
      </c>
      <c r="E113">
        <v>6.07</v>
      </c>
      <c r="F113">
        <v>2.78</v>
      </c>
      <c r="G113">
        <v>5.63</v>
      </c>
      <c r="H113">
        <v>4.12</v>
      </c>
    </row>
    <row r="114" spans="1:8" x14ac:dyDescent="0.2">
      <c r="A114" t="s">
        <v>117</v>
      </c>
      <c r="B114">
        <v>4.32</v>
      </c>
      <c r="C114">
        <v>110</v>
      </c>
      <c r="D114">
        <v>3.83</v>
      </c>
      <c r="E114">
        <v>2.14</v>
      </c>
      <c r="F114">
        <v>5</v>
      </c>
      <c r="G114">
        <v>5.63</v>
      </c>
      <c r="H114">
        <v>5</v>
      </c>
    </row>
    <row r="115" spans="1:8" x14ac:dyDescent="0.2">
      <c r="A115" t="s">
        <v>118</v>
      </c>
      <c r="B115">
        <v>4.17</v>
      </c>
      <c r="C115">
        <v>111</v>
      </c>
      <c r="D115">
        <v>3.42</v>
      </c>
      <c r="E115">
        <v>4.29</v>
      </c>
      <c r="F115">
        <v>5</v>
      </c>
      <c r="G115">
        <v>3.13</v>
      </c>
      <c r="H115">
        <v>5</v>
      </c>
    </row>
    <row r="116" spans="1:8" x14ac:dyDescent="0.2">
      <c r="A116" t="s">
        <v>119</v>
      </c>
      <c r="B116">
        <v>4.1500000000000004</v>
      </c>
      <c r="C116">
        <v>112</v>
      </c>
      <c r="D116">
        <v>4.42</v>
      </c>
      <c r="E116">
        <v>3.57</v>
      </c>
      <c r="F116">
        <v>3.33</v>
      </c>
      <c r="G116">
        <v>5</v>
      </c>
      <c r="H116">
        <v>4.41</v>
      </c>
    </row>
    <row r="117" spans="1:8" x14ac:dyDescent="0.2">
      <c r="A117" t="s">
        <v>120</v>
      </c>
      <c r="B117">
        <v>4.0999999999999996</v>
      </c>
      <c r="C117">
        <v>113</v>
      </c>
      <c r="D117">
        <v>4.33</v>
      </c>
      <c r="E117">
        <v>0.79</v>
      </c>
      <c r="F117">
        <v>7.22</v>
      </c>
      <c r="G117">
        <v>3.75</v>
      </c>
      <c r="H117">
        <v>4.41</v>
      </c>
    </row>
    <row r="118" spans="1:8" x14ac:dyDescent="0.2">
      <c r="A118" t="s">
        <v>121</v>
      </c>
      <c r="B118">
        <v>4.08</v>
      </c>
      <c r="C118">
        <v>114</v>
      </c>
      <c r="D118">
        <v>7.08</v>
      </c>
      <c r="E118">
        <v>1.1399999999999999</v>
      </c>
      <c r="F118">
        <v>2.78</v>
      </c>
      <c r="G118">
        <v>4.38</v>
      </c>
      <c r="H118">
        <v>5</v>
      </c>
    </row>
    <row r="119" spans="1:8" x14ac:dyDescent="0.2">
      <c r="A119" t="s">
        <v>122</v>
      </c>
      <c r="B119">
        <v>4.07</v>
      </c>
      <c r="C119">
        <v>115</v>
      </c>
      <c r="D119">
        <v>3.5</v>
      </c>
      <c r="E119">
        <v>4.6399999999999997</v>
      </c>
      <c r="F119">
        <v>2.78</v>
      </c>
      <c r="G119">
        <v>5</v>
      </c>
      <c r="H119">
        <v>4.41</v>
      </c>
    </row>
    <row r="120" spans="1:8" x14ac:dyDescent="0.2">
      <c r="A120" t="s">
        <v>123</v>
      </c>
      <c r="B120">
        <v>4.0199999999999996</v>
      </c>
      <c r="C120">
        <v>116</v>
      </c>
      <c r="D120">
        <v>4.33</v>
      </c>
      <c r="E120">
        <v>2.86</v>
      </c>
      <c r="F120">
        <v>3.89</v>
      </c>
      <c r="G120">
        <v>3.13</v>
      </c>
      <c r="H120">
        <v>5.88</v>
      </c>
    </row>
    <row r="121" spans="1:8" x14ac:dyDescent="0.2">
      <c r="A121" s="1" t="s">
        <v>124</v>
      </c>
      <c r="B121" s="1"/>
      <c r="C121" s="1"/>
      <c r="D121" s="1"/>
      <c r="E121" s="1"/>
      <c r="F121" s="1"/>
      <c r="G121" s="1"/>
      <c r="H121" s="1"/>
    </row>
    <row r="122" spans="1:8" x14ac:dyDescent="0.2">
      <c r="A122" t="s">
        <v>125</v>
      </c>
      <c r="B122">
        <v>3.94</v>
      </c>
      <c r="C122">
        <v>117</v>
      </c>
      <c r="D122">
        <v>4.75</v>
      </c>
      <c r="E122">
        <v>2.21</v>
      </c>
      <c r="F122">
        <v>2.2200000000000002</v>
      </c>
      <c r="G122">
        <v>3.75</v>
      </c>
      <c r="H122">
        <v>6.76</v>
      </c>
    </row>
    <row r="123" spans="1:8" x14ac:dyDescent="0.2">
      <c r="A123" t="s">
        <v>126</v>
      </c>
      <c r="B123">
        <v>3.83</v>
      </c>
      <c r="C123">
        <f>118</f>
        <v>118</v>
      </c>
      <c r="D123">
        <v>0</v>
      </c>
      <c r="E123">
        <v>3.57</v>
      </c>
      <c r="F123">
        <v>5.56</v>
      </c>
      <c r="G123">
        <v>5.63</v>
      </c>
      <c r="H123">
        <v>4.41</v>
      </c>
    </row>
    <row r="124" spans="1:8" x14ac:dyDescent="0.2">
      <c r="A124" t="s">
        <v>127</v>
      </c>
      <c r="B124">
        <v>3.83</v>
      </c>
      <c r="C124">
        <f>118</f>
        <v>118</v>
      </c>
      <c r="D124">
        <v>3</v>
      </c>
      <c r="E124">
        <v>2.21</v>
      </c>
      <c r="F124">
        <v>3.89</v>
      </c>
      <c r="G124">
        <v>5.63</v>
      </c>
      <c r="H124">
        <v>4.41</v>
      </c>
    </row>
    <row r="125" spans="1:8" x14ac:dyDescent="0.2">
      <c r="A125" t="s">
        <v>128</v>
      </c>
      <c r="B125">
        <v>3.78</v>
      </c>
      <c r="C125">
        <v>120</v>
      </c>
      <c r="D125">
        <v>3.17</v>
      </c>
      <c r="E125">
        <v>3.93</v>
      </c>
      <c r="F125">
        <v>3.89</v>
      </c>
      <c r="G125">
        <v>4.38</v>
      </c>
      <c r="H125">
        <v>3.53</v>
      </c>
    </row>
    <row r="126" spans="1:8" x14ac:dyDescent="0.2">
      <c r="A126" t="s">
        <v>129</v>
      </c>
      <c r="B126">
        <v>3.77</v>
      </c>
      <c r="C126">
        <v>121</v>
      </c>
      <c r="D126">
        <v>5.67</v>
      </c>
      <c r="E126">
        <v>3.21</v>
      </c>
      <c r="F126">
        <v>3.33</v>
      </c>
      <c r="G126">
        <v>3.13</v>
      </c>
      <c r="H126">
        <v>3.53</v>
      </c>
    </row>
    <row r="127" spans="1:8" x14ac:dyDescent="0.2">
      <c r="A127" t="s">
        <v>130</v>
      </c>
      <c r="B127">
        <v>3.76</v>
      </c>
      <c r="C127">
        <f>122</f>
        <v>122</v>
      </c>
      <c r="D127">
        <v>3.17</v>
      </c>
      <c r="E127">
        <v>3.93</v>
      </c>
      <c r="F127">
        <v>4.4400000000000004</v>
      </c>
      <c r="G127">
        <v>3.75</v>
      </c>
      <c r="H127">
        <v>3.53</v>
      </c>
    </row>
    <row r="128" spans="1:8" x14ac:dyDescent="0.2">
      <c r="A128" t="s">
        <v>131</v>
      </c>
      <c r="B128">
        <v>3.76</v>
      </c>
      <c r="C128">
        <f>122</f>
        <v>122</v>
      </c>
      <c r="D128">
        <v>3</v>
      </c>
      <c r="E128">
        <v>2.21</v>
      </c>
      <c r="F128">
        <v>4.4400000000000004</v>
      </c>
      <c r="G128">
        <v>5</v>
      </c>
      <c r="H128">
        <v>4.12</v>
      </c>
    </row>
    <row r="129" spans="1:8" x14ac:dyDescent="0.2">
      <c r="A129" t="s">
        <v>132</v>
      </c>
      <c r="B129">
        <v>3.61</v>
      </c>
      <c r="C129">
        <v>124</v>
      </c>
      <c r="D129">
        <v>0.42</v>
      </c>
      <c r="E129">
        <v>2.86</v>
      </c>
      <c r="F129">
        <v>3.89</v>
      </c>
      <c r="G129">
        <v>5</v>
      </c>
      <c r="H129">
        <v>5.88</v>
      </c>
    </row>
    <row r="130" spans="1:8" x14ac:dyDescent="0.2">
      <c r="A130" t="s">
        <v>133</v>
      </c>
      <c r="B130">
        <v>3.59</v>
      </c>
      <c r="C130">
        <v>125</v>
      </c>
      <c r="D130">
        <v>3.5</v>
      </c>
      <c r="E130">
        <v>2.86</v>
      </c>
      <c r="F130">
        <v>5</v>
      </c>
      <c r="G130">
        <v>2.5</v>
      </c>
      <c r="H130">
        <v>4.12</v>
      </c>
    </row>
    <row r="131" spans="1:8" x14ac:dyDescent="0.2">
      <c r="A131" t="s">
        <v>134</v>
      </c>
      <c r="B131">
        <v>3.52</v>
      </c>
      <c r="C131">
        <f>126</f>
        <v>126</v>
      </c>
      <c r="D131">
        <v>1.75</v>
      </c>
      <c r="E131">
        <v>4.6399999999999997</v>
      </c>
      <c r="F131">
        <v>3.89</v>
      </c>
      <c r="G131">
        <v>4.38</v>
      </c>
      <c r="H131">
        <v>2.94</v>
      </c>
    </row>
    <row r="132" spans="1:8" x14ac:dyDescent="0.2">
      <c r="A132" t="s">
        <v>135</v>
      </c>
      <c r="B132">
        <v>3.52</v>
      </c>
      <c r="C132">
        <f>126</f>
        <v>126</v>
      </c>
      <c r="D132">
        <v>3.92</v>
      </c>
      <c r="E132">
        <v>2.21</v>
      </c>
      <c r="F132">
        <v>3.89</v>
      </c>
      <c r="G132">
        <v>3.75</v>
      </c>
      <c r="H132">
        <v>3.82</v>
      </c>
    </row>
    <row r="133" spans="1:8" x14ac:dyDescent="0.2">
      <c r="A133" t="s">
        <v>136</v>
      </c>
      <c r="B133">
        <v>3.45</v>
      </c>
      <c r="C133">
        <v>128</v>
      </c>
      <c r="D133">
        <v>4</v>
      </c>
      <c r="E133">
        <v>0.79</v>
      </c>
      <c r="F133">
        <v>3.33</v>
      </c>
      <c r="G133">
        <v>5</v>
      </c>
      <c r="H133">
        <v>4.12</v>
      </c>
    </row>
    <row r="134" spans="1:8" x14ac:dyDescent="0.2">
      <c r="A134" t="s">
        <v>137</v>
      </c>
      <c r="B134">
        <v>3.41</v>
      </c>
      <c r="C134">
        <f>129</f>
        <v>129</v>
      </c>
      <c r="D134">
        <v>3</v>
      </c>
      <c r="E134">
        <v>2.21</v>
      </c>
      <c r="F134">
        <v>3.89</v>
      </c>
      <c r="G134">
        <v>5</v>
      </c>
      <c r="H134">
        <v>2.94</v>
      </c>
    </row>
    <row r="135" spans="1:8" x14ac:dyDescent="0.2">
      <c r="A135" t="s">
        <v>138</v>
      </c>
      <c r="B135">
        <v>3.41</v>
      </c>
      <c r="C135">
        <f>129</f>
        <v>129</v>
      </c>
      <c r="D135">
        <v>0.75</v>
      </c>
      <c r="E135">
        <v>3.57</v>
      </c>
      <c r="F135">
        <v>3.89</v>
      </c>
      <c r="G135">
        <v>5</v>
      </c>
      <c r="H135">
        <v>3.82</v>
      </c>
    </row>
    <row r="136" spans="1:8" x14ac:dyDescent="0.2">
      <c r="A136" t="s">
        <v>139</v>
      </c>
      <c r="B136">
        <v>3.38</v>
      </c>
      <c r="C136">
        <v>131</v>
      </c>
      <c r="D136">
        <v>0.83</v>
      </c>
      <c r="E136">
        <v>5</v>
      </c>
      <c r="F136">
        <v>2.2200000000000002</v>
      </c>
      <c r="G136">
        <v>5</v>
      </c>
      <c r="H136">
        <v>3.82</v>
      </c>
    </row>
    <row r="137" spans="1:8" x14ac:dyDescent="0.2">
      <c r="A137" t="s">
        <v>140</v>
      </c>
      <c r="B137">
        <v>3.35</v>
      </c>
      <c r="C137">
        <v>132</v>
      </c>
      <c r="D137">
        <v>0.92</v>
      </c>
      <c r="E137">
        <v>3.21</v>
      </c>
      <c r="F137">
        <v>5</v>
      </c>
      <c r="G137">
        <v>4.38</v>
      </c>
      <c r="H137">
        <v>3.24</v>
      </c>
    </row>
    <row r="138" spans="1:8" x14ac:dyDescent="0.2">
      <c r="A138" t="s">
        <v>141</v>
      </c>
      <c r="B138">
        <v>3.31</v>
      </c>
      <c r="C138">
        <v>133</v>
      </c>
      <c r="D138">
        <v>2.17</v>
      </c>
      <c r="E138">
        <v>3.93</v>
      </c>
      <c r="F138">
        <v>2.2200000000000002</v>
      </c>
      <c r="G138">
        <v>5</v>
      </c>
      <c r="H138">
        <v>3.24</v>
      </c>
    </row>
    <row r="139" spans="1:8" x14ac:dyDescent="0.2">
      <c r="A139" t="s">
        <v>142</v>
      </c>
      <c r="B139">
        <v>3.29</v>
      </c>
      <c r="C139">
        <v>134</v>
      </c>
      <c r="D139">
        <v>0</v>
      </c>
      <c r="E139">
        <v>3.93</v>
      </c>
      <c r="F139">
        <v>3.89</v>
      </c>
      <c r="G139">
        <v>6.88</v>
      </c>
      <c r="H139">
        <v>1.76</v>
      </c>
    </row>
    <row r="140" spans="1:8" x14ac:dyDescent="0.2">
      <c r="A140" t="s">
        <v>143</v>
      </c>
      <c r="B140">
        <v>3.27</v>
      </c>
      <c r="C140">
        <v>135</v>
      </c>
      <c r="D140">
        <v>2.17</v>
      </c>
      <c r="E140">
        <v>2.5</v>
      </c>
      <c r="F140">
        <v>5</v>
      </c>
      <c r="G140">
        <v>3.75</v>
      </c>
      <c r="H140">
        <v>2.94</v>
      </c>
    </row>
    <row r="141" spans="1:8" x14ac:dyDescent="0.2">
      <c r="A141" t="s">
        <v>144</v>
      </c>
      <c r="B141">
        <v>3.26</v>
      </c>
      <c r="C141">
        <v>136</v>
      </c>
      <c r="D141">
        <v>0</v>
      </c>
      <c r="E141">
        <v>3.93</v>
      </c>
      <c r="F141">
        <v>3.89</v>
      </c>
      <c r="G141">
        <v>4.38</v>
      </c>
      <c r="H141">
        <v>4.12</v>
      </c>
    </row>
    <row r="142" spans="1:8" x14ac:dyDescent="0.2">
      <c r="A142" t="s">
        <v>145</v>
      </c>
      <c r="B142">
        <v>3.25</v>
      </c>
      <c r="C142">
        <v>137</v>
      </c>
      <c r="D142">
        <v>0</v>
      </c>
      <c r="E142">
        <v>1.79</v>
      </c>
      <c r="F142">
        <v>5</v>
      </c>
      <c r="G142">
        <v>5.63</v>
      </c>
      <c r="H142">
        <v>3.82</v>
      </c>
    </row>
    <row r="143" spans="1:8" x14ac:dyDescent="0.2">
      <c r="A143" t="s">
        <v>146</v>
      </c>
      <c r="B143">
        <v>3.2</v>
      </c>
      <c r="C143">
        <v>138</v>
      </c>
      <c r="D143">
        <v>0.92</v>
      </c>
      <c r="E143">
        <v>2.86</v>
      </c>
      <c r="F143">
        <v>2.78</v>
      </c>
      <c r="G143">
        <v>5.63</v>
      </c>
      <c r="H143">
        <v>3.82</v>
      </c>
    </row>
    <row r="144" spans="1:8" x14ac:dyDescent="0.2">
      <c r="A144" t="s">
        <v>147</v>
      </c>
      <c r="B144">
        <v>3.18</v>
      </c>
      <c r="C144">
        <v>139</v>
      </c>
      <c r="D144">
        <v>0</v>
      </c>
      <c r="E144">
        <v>3.93</v>
      </c>
      <c r="F144">
        <v>2.2200000000000002</v>
      </c>
      <c r="G144">
        <v>5.63</v>
      </c>
      <c r="H144">
        <v>4.12</v>
      </c>
    </row>
    <row r="145" spans="1:8" x14ac:dyDescent="0.2">
      <c r="A145" t="s">
        <v>148</v>
      </c>
      <c r="B145">
        <v>3.06</v>
      </c>
      <c r="C145">
        <f>140</f>
        <v>140</v>
      </c>
      <c r="D145">
        <v>1.75</v>
      </c>
      <c r="E145">
        <v>1.79</v>
      </c>
      <c r="F145">
        <v>3.33</v>
      </c>
      <c r="G145">
        <v>3.75</v>
      </c>
      <c r="H145">
        <v>4.71</v>
      </c>
    </row>
    <row r="146" spans="1:8" x14ac:dyDescent="0.2">
      <c r="A146" t="s">
        <v>149</v>
      </c>
      <c r="B146">
        <v>3.06</v>
      </c>
      <c r="C146">
        <f>140</f>
        <v>140</v>
      </c>
      <c r="D146">
        <v>0.5</v>
      </c>
      <c r="E146">
        <v>2.14</v>
      </c>
      <c r="F146">
        <v>3.89</v>
      </c>
      <c r="G146">
        <v>4.38</v>
      </c>
      <c r="H146">
        <v>4.41</v>
      </c>
    </row>
    <row r="147" spans="1:8" x14ac:dyDescent="0.2">
      <c r="A147" t="s">
        <v>150</v>
      </c>
      <c r="B147">
        <v>3.04</v>
      </c>
      <c r="C147">
        <v>142</v>
      </c>
      <c r="D147">
        <v>1.75</v>
      </c>
      <c r="E147">
        <v>2.86</v>
      </c>
      <c r="F147">
        <v>3.89</v>
      </c>
      <c r="G147">
        <v>4.38</v>
      </c>
      <c r="H147">
        <v>2.35</v>
      </c>
    </row>
    <row r="148" spans="1:8" x14ac:dyDescent="0.2">
      <c r="A148" t="s">
        <v>151</v>
      </c>
      <c r="B148">
        <v>3</v>
      </c>
      <c r="C148">
        <v>143</v>
      </c>
      <c r="D148">
        <v>0</v>
      </c>
      <c r="E148">
        <v>4.6399999999999997</v>
      </c>
      <c r="F148">
        <v>3.89</v>
      </c>
      <c r="G148">
        <v>5</v>
      </c>
      <c r="H148">
        <v>1.47</v>
      </c>
    </row>
    <row r="149" spans="1:8" x14ac:dyDescent="0.2">
      <c r="A149" t="s">
        <v>152</v>
      </c>
      <c r="B149">
        <v>2.96</v>
      </c>
      <c r="C149">
        <v>144</v>
      </c>
      <c r="D149">
        <v>0.83</v>
      </c>
      <c r="E149">
        <v>1.79</v>
      </c>
      <c r="F149">
        <v>3.33</v>
      </c>
      <c r="G149">
        <v>5.63</v>
      </c>
      <c r="H149">
        <v>3.24</v>
      </c>
    </row>
    <row r="150" spans="1:8" x14ac:dyDescent="0.2">
      <c r="A150" t="s">
        <v>153</v>
      </c>
      <c r="B150">
        <v>2.89</v>
      </c>
      <c r="C150">
        <v>145</v>
      </c>
      <c r="D150">
        <v>1.25</v>
      </c>
      <c r="E150">
        <v>2.86</v>
      </c>
      <c r="F150">
        <v>3.33</v>
      </c>
      <c r="G150">
        <v>3.75</v>
      </c>
      <c r="H150">
        <v>3.24</v>
      </c>
    </row>
    <row r="151" spans="1:8" x14ac:dyDescent="0.2">
      <c r="A151" t="s">
        <v>154</v>
      </c>
      <c r="B151">
        <v>2.87</v>
      </c>
      <c r="C151">
        <v>146</v>
      </c>
      <c r="D151">
        <v>1.25</v>
      </c>
      <c r="E151">
        <v>3.57</v>
      </c>
      <c r="F151">
        <v>2.78</v>
      </c>
      <c r="G151">
        <v>4.38</v>
      </c>
      <c r="H151">
        <v>2.35</v>
      </c>
    </row>
    <row r="152" spans="1:8" x14ac:dyDescent="0.2">
      <c r="A152" t="s">
        <v>155</v>
      </c>
      <c r="B152">
        <v>2.84</v>
      </c>
      <c r="C152">
        <v>147</v>
      </c>
      <c r="D152">
        <v>3.5</v>
      </c>
      <c r="E152">
        <v>0.43</v>
      </c>
      <c r="F152">
        <v>3.89</v>
      </c>
      <c r="G152">
        <v>3.75</v>
      </c>
      <c r="H152">
        <v>2.65</v>
      </c>
    </row>
    <row r="153" spans="1:8" x14ac:dyDescent="0.2">
      <c r="A153" t="s">
        <v>156</v>
      </c>
      <c r="B153">
        <v>2.79</v>
      </c>
      <c r="C153">
        <v>148</v>
      </c>
      <c r="D153">
        <v>1.33</v>
      </c>
      <c r="E153">
        <v>1.43</v>
      </c>
      <c r="F153">
        <v>5</v>
      </c>
      <c r="G153">
        <v>5</v>
      </c>
      <c r="H153">
        <v>1.18</v>
      </c>
    </row>
    <row r="154" spans="1:8" x14ac:dyDescent="0.2">
      <c r="A154" t="s">
        <v>157</v>
      </c>
      <c r="B154">
        <v>2.76</v>
      </c>
      <c r="C154">
        <v>149</v>
      </c>
      <c r="D154">
        <v>1.5</v>
      </c>
      <c r="E154">
        <v>2.14</v>
      </c>
      <c r="F154">
        <v>2.78</v>
      </c>
      <c r="G154">
        <v>5.63</v>
      </c>
      <c r="H154">
        <v>1.76</v>
      </c>
    </row>
    <row r="155" spans="1:8" x14ac:dyDescent="0.2">
      <c r="A155" t="s">
        <v>158</v>
      </c>
      <c r="B155">
        <v>2.67</v>
      </c>
      <c r="C155">
        <v>150</v>
      </c>
      <c r="D155">
        <v>0.5</v>
      </c>
      <c r="E155">
        <v>1.29</v>
      </c>
      <c r="F155">
        <v>3.33</v>
      </c>
      <c r="G155">
        <v>5</v>
      </c>
      <c r="H155">
        <v>3.24</v>
      </c>
    </row>
    <row r="156" spans="1:8" x14ac:dyDescent="0.2">
      <c r="A156" t="s">
        <v>159</v>
      </c>
      <c r="B156">
        <v>2.54</v>
      </c>
      <c r="C156">
        <v>151</v>
      </c>
      <c r="D156">
        <v>0</v>
      </c>
      <c r="E156">
        <v>1.79</v>
      </c>
      <c r="F156">
        <v>4.4400000000000004</v>
      </c>
      <c r="G156">
        <v>5</v>
      </c>
      <c r="H156">
        <v>1.47</v>
      </c>
    </row>
    <row r="157" spans="1:8" x14ac:dyDescent="0.2">
      <c r="A157" t="s">
        <v>166</v>
      </c>
      <c r="B157">
        <v>2.52</v>
      </c>
      <c r="C157">
        <v>152</v>
      </c>
      <c r="D157">
        <v>0</v>
      </c>
      <c r="E157">
        <v>3.57</v>
      </c>
      <c r="F157">
        <v>1.1100000000000001</v>
      </c>
      <c r="G157">
        <v>5</v>
      </c>
      <c r="H157">
        <v>2.94</v>
      </c>
    </row>
    <row r="158" spans="1:8" x14ac:dyDescent="0.2">
      <c r="A158" t="s">
        <v>160</v>
      </c>
      <c r="B158">
        <v>2.5099999999999998</v>
      </c>
      <c r="C158">
        <v>153</v>
      </c>
      <c r="D158">
        <v>1.83</v>
      </c>
      <c r="E158">
        <v>0.79</v>
      </c>
      <c r="F158">
        <v>2.2200000000000002</v>
      </c>
      <c r="G158">
        <v>6.25</v>
      </c>
      <c r="H158">
        <v>1.47</v>
      </c>
    </row>
    <row r="159" spans="1:8" x14ac:dyDescent="0.2">
      <c r="A159" t="s">
        <v>161</v>
      </c>
      <c r="B159">
        <v>2.48</v>
      </c>
      <c r="C159">
        <v>154</v>
      </c>
      <c r="D159">
        <v>2.5</v>
      </c>
      <c r="E159">
        <v>0.79</v>
      </c>
      <c r="F159">
        <v>2.78</v>
      </c>
      <c r="G159">
        <v>2.5</v>
      </c>
      <c r="H159">
        <v>3.82</v>
      </c>
    </row>
    <row r="160" spans="1:8" x14ac:dyDescent="0.2">
      <c r="A160" t="s">
        <v>162</v>
      </c>
      <c r="B160">
        <v>2.4</v>
      </c>
      <c r="C160">
        <v>155</v>
      </c>
      <c r="D160">
        <v>0</v>
      </c>
      <c r="E160">
        <v>2.86</v>
      </c>
      <c r="F160">
        <v>1.1100000000000001</v>
      </c>
      <c r="G160">
        <v>6.88</v>
      </c>
      <c r="H160">
        <v>1.18</v>
      </c>
    </row>
    <row r="161" spans="1:8" x14ac:dyDescent="0.2">
      <c r="A161" t="s">
        <v>163</v>
      </c>
      <c r="B161">
        <v>2.21</v>
      </c>
      <c r="C161">
        <v>156</v>
      </c>
      <c r="D161">
        <v>0</v>
      </c>
      <c r="E161">
        <v>3.21</v>
      </c>
      <c r="F161">
        <v>1.67</v>
      </c>
      <c r="G161">
        <v>5</v>
      </c>
      <c r="H161">
        <v>1.18</v>
      </c>
    </row>
    <row r="162" spans="1:8" x14ac:dyDescent="0.2">
      <c r="A162" t="s">
        <v>167</v>
      </c>
      <c r="B162">
        <v>1.98</v>
      </c>
      <c r="C162">
        <v>157</v>
      </c>
      <c r="D162">
        <v>0</v>
      </c>
      <c r="E162">
        <v>2.86</v>
      </c>
      <c r="F162">
        <v>2.78</v>
      </c>
      <c r="G162">
        <v>2.5</v>
      </c>
      <c r="H162">
        <v>1.76</v>
      </c>
    </row>
    <row r="163" spans="1:8" x14ac:dyDescent="0.2">
      <c r="A163" t="s">
        <v>168</v>
      </c>
      <c r="B163">
        <v>1.86</v>
      </c>
      <c r="C163">
        <v>158</v>
      </c>
      <c r="D163">
        <v>0</v>
      </c>
      <c r="E163">
        <v>0.36</v>
      </c>
      <c r="F163">
        <v>3.33</v>
      </c>
      <c r="G163">
        <v>5.63</v>
      </c>
      <c r="H163">
        <v>0</v>
      </c>
    </row>
    <row r="164" spans="1:8" x14ac:dyDescent="0.2">
      <c r="A164" t="s">
        <v>169</v>
      </c>
      <c r="B164">
        <v>1.83</v>
      </c>
      <c r="C164">
        <v>159</v>
      </c>
      <c r="D164">
        <v>1.33</v>
      </c>
      <c r="E164">
        <v>0.71</v>
      </c>
      <c r="F164">
        <v>2.2200000000000002</v>
      </c>
      <c r="G164">
        <v>3.13</v>
      </c>
      <c r="H164">
        <v>1.76</v>
      </c>
    </row>
    <row r="165" spans="1:8" x14ac:dyDescent="0.2">
      <c r="A165" t="s">
        <v>170</v>
      </c>
      <c r="B165">
        <v>1.82</v>
      </c>
      <c r="C165">
        <v>160</v>
      </c>
      <c r="D165">
        <v>0</v>
      </c>
      <c r="E165">
        <v>2.86</v>
      </c>
      <c r="F165">
        <v>1.67</v>
      </c>
      <c r="G165">
        <v>3.13</v>
      </c>
      <c r="H165">
        <v>1.47</v>
      </c>
    </row>
    <row r="166" spans="1:8" x14ac:dyDescent="0.2">
      <c r="A166" t="s">
        <v>171</v>
      </c>
      <c r="B166">
        <v>1.77</v>
      </c>
      <c r="C166">
        <v>161</v>
      </c>
      <c r="D166">
        <v>0</v>
      </c>
      <c r="E166">
        <v>0.79</v>
      </c>
      <c r="F166">
        <v>2.2200000000000002</v>
      </c>
      <c r="G166">
        <v>4.38</v>
      </c>
      <c r="H166">
        <v>1.47</v>
      </c>
    </row>
    <row r="167" spans="1:8" x14ac:dyDescent="0.2">
      <c r="A167" t="s">
        <v>172</v>
      </c>
      <c r="B167">
        <v>1.72</v>
      </c>
      <c r="C167">
        <f>162</f>
        <v>162</v>
      </c>
      <c r="D167">
        <v>0.08</v>
      </c>
      <c r="E167">
        <v>0.79</v>
      </c>
      <c r="F167">
        <v>2.78</v>
      </c>
      <c r="G167">
        <v>4.38</v>
      </c>
      <c r="H167">
        <v>0.59</v>
      </c>
    </row>
    <row r="168" spans="1:8" x14ac:dyDescent="0.2">
      <c r="A168" t="s">
        <v>173</v>
      </c>
      <c r="B168">
        <v>1.72</v>
      </c>
      <c r="C168">
        <f>162</f>
        <v>162</v>
      </c>
      <c r="D168">
        <v>0</v>
      </c>
      <c r="E168">
        <v>0.79</v>
      </c>
      <c r="F168">
        <v>2.2200000000000002</v>
      </c>
      <c r="G168">
        <v>5</v>
      </c>
      <c r="H168">
        <v>0.59</v>
      </c>
    </row>
    <row r="169" spans="1:8" x14ac:dyDescent="0.2">
      <c r="A169" t="s">
        <v>174</v>
      </c>
      <c r="B169">
        <v>1.5</v>
      </c>
      <c r="C169">
        <v>164</v>
      </c>
      <c r="D169">
        <v>0</v>
      </c>
      <c r="E169">
        <v>0</v>
      </c>
      <c r="F169">
        <v>1.1100000000000001</v>
      </c>
      <c r="G169">
        <v>3.75</v>
      </c>
      <c r="H169">
        <v>2.65</v>
      </c>
    </row>
    <row r="170" spans="1:8" x14ac:dyDescent="0.2">
      <c r="A170" t="s">
        <v>175</v>
      </c>
      <c r="B170">
        <v>1.49</v>
      </c>
      <c r="C170">
        <v>165</v>
      </c>
      <c r="D170">
        <v>0.92</v>
      </c>
      <c r="E170">
        <v>0</v>
      </c>
      <c r="F170">
        <v>1.67</v>
      </c>
      <c r="G170">
        <v>2.5</v>
      </c>
      <c r="H170">
        <v>2.35</v>
      </c>
    </row>
    <row r="171" spans="1:8" x14ac:dyDescent="0.2">
      <c r="A171" t="s">
        <v>176</v>
      </c>
      <c r="B171">
        <v>1.26</v>
      </c>
      <c r="C171">
        <v>166</v>
      </c>
      <c r="D171">
        <v>0.42</v>
      </c>
      <c r="E171">
        <v>0</v>
      </c>
      <c r="F171">
        <v>1.67</v>
      </c>
      <c r="G171">
        <v>1.88</v>
      </c>
      <c r="H171">
        <v>2.35</v>
      </c>
    </row>
    <row r="172" spans="1:8" x14ac:dyDescent="0.2">
      <c r="A172" t="s">
        <v>177</v>
      </c>
      <c r="B172">
        <v>1.08</v>
      </c>
      <c r="C172">
        <v>167</v>
      </c>
      <c r="D172">
        <v>0</v>
      </c>
      <c r="E172">
        <v>2.5</v>
      </c>
      <c r="F172">
        <v>1.67</v>
      </c>
      <c r="G172">
        <v>1.25</v>
      </c>
      <c r="H172">
        <v>0</v>
      </c>
    </row>
  </sheetData>
  <mergeCells count="4">
    <mergeCell ref="A2:H2"/>
    <mergeCell ref="A28:H28"/>
    <mergeCell ref="A81:H81"/>
    <mergeCell ref="A121:H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2022-10-05T16:13:59Z</dcterms:created>
  <dcterms:modified xsi:type="dcterms:W3CDTF">2022-10-05T16:52:54Z</dcterms:modified>
</cp:coreProperties>
</file>